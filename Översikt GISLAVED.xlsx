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45642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45642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45642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30046-2024</t>
        </is>
      </c>
      <c r="B5" s="1" t="n">
        <v>45488</v>
      </c>
      <c r="C5" s="1" t="n">
        <v>45642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Större brunfladdermus</t>
        </is>
      </c>
      <c r="S5">
        <f>HYPERLINK("https://klasma.github.io/Logging_0662/artfynd/A 30046-2024 artfynd.xlsx", "A 30046-2024")</f>
        <v/>
      </c>
      <c r="T5">
        <f>HYPERLINK("https://klasma.github.io/Logging_0662/kartor/A 30046-2024 karta.png", "A 30046-2024")</f>
        <v/>
      </c>
      <c r="V5">
        <f>HYPERLINK("https://klasma.github.io/Logging_0662/klagomål/A 30046-2024 FSC-klagomål.docx", "A 30046-2024")</f>
        <v/>
      </c>
      <c r="W5">
        <f>HYPERLINK("https://klasma.github.io/Logging_0662/klagomålsmail/A 30046-2024 FSC-klagomål mail.docx", "A 30046-2024")</f>
        <v/>
      </c>
      <c r="X5">
        <f>HYPERLINK("https://klasma.github.io/Logging_0662/tillsyn/A 30046-2024 tillsynsbegäran.docx", "A 30046-2024")</f>
        <v/>
      </c>
      <c r="Y5">
        <f>HYPERLINK("https://klasma.github.io/Logging_0662/tillsynsmail/A 30046-2024 tillsynsbegäran mail.docx", "A 30046-2024")</f>
        <v/>
      </c>
    </row>
    <row r="6" ht="15" customHeight="1">
      <c r="A6" t="inlineStr">
        <is>
          <t>A 37345-2019</t>
        </is>
      </c>
      <c r="B6" s="1" t="n">
        <v>43678</v>
      </c>
      <c r="C6" s="1" t="n">
        <v>45642</v>
      </c>
      <c r="D6" t="inlineStr">
        <is>
          <t>JÖNKÖPINGS LÄN</t>
        </is>
      </c>
      <c r="E6" t="inlineStr">
        <is>
          <t>GISLAVED</t>
        </is>
      </c>
      <c r="G6" t="n">
        <v>0.5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Sandödla</t>
        </is>
      </c>
      <c r="S6">
        <f>HYPERLINK("https://klasma.github.io/Logging_0662/artfynd/A 37345-2019 artfynd.xlsx", "A 37345-2019")</f>
        <v/>
      </c>
      <c r="T6">
        <f>HYPERLINK("https://klasma.github.io/Logging_0662/kartor/A 37345-2019 karta.png", "A 37345-2019")</f>
        <v/>
      </c>
      <c r="V6">
        <f>HYPERLINK("https://klasma.github.io/Logging_0662/klagomål/A 37345-2019 FSC-klagomål.docx", "A 37345-2019")</f>
        <v/>
      </c>
      <c r="W6">
        <f>HYPERLINK("https://klasma.github.io/Logging_0662/klagomålsmail/A 37345-2019 FSC-klagomål mail.docx", "A 37345-2019")</f>
        <v/>
      </c>
      <c r="X6">
        <f>HYPERLINK("https://klasma.github.io/Logging_0662/tillsyn/A 37345-2019 tillsynsbegäran.docx", "A 37345-2019")</f>
        <v/>
      </c>
      <c r="Y6">
        <f>HYPERLINK("https://klasma.github.io/Logging_0662/tillsynsmail/A 37345-2019 tillsynsbegäran mail.docx", "A 37345-2019")</f>
        <v/>
      </c>
    </row>
    <row r="7" ht="15" customHeight="1">
      <c r="A7" t="inlineStr">
        <is>
          <t>A 1319-2021</t>
        </is>
      </c>
      <c r="B7" s="1" t="n">
        <v>44208</v>
      </c>
      <c r="C7" s="1" t="n">
        <v>45642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Backtimjan</t>
        </is>
      </c>
      <c r="S7">
        <f>HYPERLINK("https://klasma.github.io/Logging_0662/artfynd/A 1319-2021 artfynd.xlsx", "A 1319-2021")</f>
        <v/>
      </c>
      <c r="T7">
        <f>HYPERLINK("https://klasma.github.io/Logging_0662/kartor/A 1319-2021 karta.png", "A 1319-2021")</f>
        <v/>
      </c>
      <c r="V7">
        <f>HYPERLINK("https://klasma.github.io/Logging_0662/klagomål/A 1319-2021 FSC-klagomål.docx", "A 1319-2021")</f>
        <v/>
      </c>
      <c r="W7">
        <f>HYPERLINK("https://klasma.github.io/Logging_0662/klagomålsmail/A 1319-2021 FSC-klagomål mail.docx", "A 1319-2021")</f>
        <v/>
      </c>
      <c r="X7">
        <f>HYPERLINK("https://klasma.github.io/Logging_0662/tillsyn/A 1319-2021 tillsynsbegäran.docx", "A 1319-2021")</f>
        <v/>
      </c>
      <c r="Y7">
        <f>HYPERLINK("https://klasma.github.io/Logging_0662/tillsynsmail/A 1319-2021 tillsynsbegäran mail.docx", "A 1319-2021")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45642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27358-2022</t>
        </is>
      </c>
      <c r="B9" s="1" t="n">
        <v>44742</v>
      </c>
      <c r="C9" s="1" t="n">
        <v>45642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45642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62297-2022</t>
        </is>
      </c>
      <c r="B11" s="1" t="n">
        <v>44923</v>
      </c>
      <c r="C11" s="1" t="n">
        <v>45642</v>
      </c>
      <c r="D11" t="inlineStr">
        <is>
          <t>JÖNKÖPINGS LÄN</t>
        </is>
      </c>
      <c r="E11" t="inlineStr">
        <is>
          <t>GISLAVED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HYPERLINK("https://klasma.github.io/Logging_0662/artfynd/A 62297-2022 artfynd.xlsx", "A 62297-2022")</f>
        <v/>
      </c>
      <c r="T11">
        <f>HYPERLINK("https://klasma.github.io/Logging_0662/kartor/A 62297-2022 karta.png", "A 62297-2022")</f>
        <v/>
      </c>
      <c r="V11">
        <f>HYPERLINK("https://klasma.github.io/Logging_0662/klagomål/A 62297-2022 FSC-klagomål.docx", "A 62297-2022")</f>
        <v/>
      </c>
      <c r="W11">
        <f>HYPERLINK("https://klasma.github.io/Logging_0662/klagomålsmail/A 62297-2022 FSC-klagomål mail.docx", "A 62297-2022")</f>
        <v/>
      </c>
      <c r="X11">
        <f>HYPERLINK("https://klasma.github.io/Logging_0662/tillsyn/A 62297-2022 tillsynsbegäran.docx", "A 62297-2022")</f>
        <v/>
      </c>
      <c r="Y11">
        <f>HYPERLINK("https://klasma.github.io/Logging_0662/tillsynsmail/A 62297-2022 tillsynsbegäran mail.docx", "A 62297-2022")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45642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8486-2023</t>
        </is>
      </c>
      <c r="B13" s="1" t="n">
        <v>44977</v>
      </c>
      <c r="C13" s="1" t="n">
        <v>45642</v>
      </c>
      <c r="D13" t="inlineStr">
        <is>
          <t>JÖNKÖPINGS LÄN</t>
        </is>
      </c>
      <c r="E13" t="inlineStr">
        <is>
          <t>GISLAVED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HYPERLINK("https://klasma.github.io/Logging_0662/artfynd/A 8486-2023 artfynd.xlsx", "A 8486-2023")</f>
        <v/>
      </c>
      <c r="T13">
        <f>HYPERLINK("https://klasma.github.io/Logging_0662/kartor/A 8486-2023 karta.png", "A 8486-2023")</f>
        <v/>
      </c>
      <c r="V13">
        <f>HYPERLINK("https://klasma.github.io/Logging_0662/klagomål/A 8486-2023 FSC-klagomål.docx", "A 8486-2023")</f>
        <v/>
      </c>
      <c r="W13">
        <f>HYPERLINK("https://klasma.github.io/Logging_0662/klagomålsmail/A 8486-2023 FSC-klagomål mail.docx", "A 8486-2023")</f>
        <v/>
      </c>
      <c r="X13">
        <f>HYPERLINK("https://klasma.github.io/Logging_0662/tillsyn/A 8486-2023 tillsynsbegäran.docx", "A 8486-2023")</f>
        <v/>
      </c>
      <c r="Y13">
        <f>HYPERLINK("https://klasma.github.io/Logging_0662/tillsynsmail/A 8486-2023 tillsynsbegäran mail.docx", "A 8486-2023")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45642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22367-2023</t>
        </is>
      </c>
      <c r="B15" s="1" t="n">
        <v>45070</v>
      </c>
      <c r="C15" s="1" t="n">
        <v>45642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HYPERLINK("https://klasma.github.io/Logging_0662/artfynd/A 22367-2023 artfynd.xlsx", "A 22367-2023")</f>
        <v/>
      </c>
      <c r="T15">
        <f>HYPERLINK("https://klasma.github.io/Logging_0662/kartor/A 22367-2023 karta.png", "A 22367-2023")</f>
        <v/>
      </c>
      <c r="V15">
        <f>HYPERLINK("https://klasma.github.io/Logging_0662/klagomål/A 22367-2023 FSC-klagomål.docx", "A 22367-2023")</f>
        <v/>
      </c>
      <c r="W15">
        <f>HYPERLINK("https://klasma.github.io/Logging_0662/klagomålsmail/A 22367-2023 FSC-klagomål mail.docx", "A 22367-2023")</f>
        <v/>
      </c>
      <c r="X15">
        <f>HYPERLINK("https://klasma.github.io/Logging_0662/tillsyn/A 22367-2023 tillsynsbegäran.docx", "A 22367-2023")</f>
        <v/>
      </c>
      <c r="Y15">
        <f>HYPERLINK("https://klasma.github.io/Logging_0662/tillsynsmail/A 22367-2023 tillsynsbegäran mail.docx", "A 22367-2023")</f>
        <v/>
      </c>
    </row>
    <row r="16" ht="15" customHeight="1">
      <c r="A16" t="inlineStr">
        <is>
          <t>A 23694-2023</t>
        </is>
      </c>
      <c r="B16" s="1" t="n">
        <v>45077</v>
      </c>
      <c r="C16" s="1" t="n">
        <v>45642</v>
      </c>
      <c r="D16" t="inlineStr">
        <is>
          <t>JÖNKÖPINGS LÄN</t>
        </is>
      </c>
      <c r="E16" t="inlineStr">
        <is>
          <t>GISLAVED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HYPERLINK("https://klasma.github.io/Logging_0662/artfynd/A 23694-2023 artfynd.xlsx", "A 23694-2023")</f>
        <v/>
      </c>
      <c r="T16">
        <f>HYPERLINK("https://klasma.github.io/Logging_0662/kartor/A 23694-2023 karta.png", "A 23694-2023")</f>
        <v/>
      </c>
      <c r="V16">
        <f>HYPERLINK("https://klasma.github.io/Logging_0662/klagomål/A 23694-2023 FSC-klagomål.docx", "A 23694-2023")</f>
        <v/>
      </c>
      <c r="W16">
        <f>HYPERLINK("https://klasma.github.io/Logging_0662/klagomålsmail/A 23694-2023 FSC-klagomål mail.docx", "A 23694-2023")</f>
        <v/>
      </c>
      <c r="X16">
        <f>HYPERLINK("https://klasma.github.io/Logging_0662/tillsyn/A 23694-2023 tillsynsbegäran.docx", "A 23694-2023")</f>
        <v/>
      </c>
      <c r="Y16">
        <f>HYPERLINK("https://klasma.github.io/Logging_0662/tillsynsmail/A 23694-2023 tillsynsbegäran mail.docx", "A 23694-2023")</f>
        <v/>
      </c>
    </row>
    <row r="17" ht="15" customHeight="1">
      <c r="A17" t="inlineStr">
        <is>
          <t>A 11174-2024</t>
        </is>
      </c>
      <c r="B17" s="1" t="n">
        <v>45371</v>
      </c>
      <c r="C17" s="1" t="n">
        <v>45642</v>
      </c>
      <c r="D17" t="inlineStr">
        <is>
          <t>JÖNKÖPINGS LÄN</t>
        </is>
      </c>
      <c r="E17" t="inlineStr">
        <is>
          <t>GISLAVED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HYPERLINK("https://klasma.github.io/Logging_0662/artfynd/A 11174-2024 artfynd.xlsx", "A 11174-2024")</f>
        <v/>
      </c>
      <c r="T17">
        <f>HYPERLINK("https://klasma.github.io/Logging_0662/kartor/A 11174-2024 karta.png", "A 11174-2024")</f>
        <v/>
      </c>
      <c r="V17">
        <f>HYPERLINK("https://klasma.github.io/Logging_0662/klagomål/A 11174-2024 FSC-klagomål.docx", "A 11174-2024")</f>
        <v/>
      </c>
      <c r="W17">
        <f>HYPERLINK("https://klasma.github.io/Logging_0662/klagomålsmail/A 11174-2024 FSC-klagomål mail.docx", "A 11174-2024")</f>
        <v/>
      </c>
      <c r="X17">
        <f>HYPERLINK("https://klasma.github.io/Logging_0662/tillsyn/A 11174-2024 tillsynsbegäran.docx", "A 11174-2024")</f>
        <v/>
      </c>
      <c r="Y17">
        <f>HYPERLINK("https://klasma.github.io/Logging_0662/tillsynsmail/A 11174-2024 tillsynsbegäran mail.docx", "A 11174-2024")</f>
        <v/>
      </c>
    </row>
    <row r="18" ht="15" customHeight="1">
      <c r="A18" t="inlineStr">
        <is>
          <t>A 18423-2024</t>
        </is>
      </c>
      <c r="B18" s="1" t="n">
        <v>45425</v>
      </c>
      <c r="C18" s="1" t="n">
        <v>45642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17736-2019</t>
        </is>
      </c>
      <c r="B19" s="1" t="n">
        <v>43556</v>
      </c>
      <c r="C19" s="1" t="n">
        <v>45642</v>
      </c>
      <c r="D19" t="inlineStr">
        <is>
          <t>JÖNKÖPINGS LÄN</t>
        </is>
      </c>
      <c r="E19" t="inlineStr">
        <is>
          <t>GISLAVED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17727-2019</t>
        </is>
      </c>
      <c r="B20" s="1" t="n">
        <v>43556</v>
      </c>
      <c r="C20" s="1" t="n">
        <v>45642</v>
      </c>
      <c r="D20" t="inlineStr">
        <is>
          <t>JÖNKÖPINGS LÄN</t>
        </is>
      </c>
      <c r="E20" t="inlineStr">
        <is>
          <t>GISLAVED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17918-2019</t>
        </is>
      </c>
      <c r="B21" s="1" t="n">
        <v>43557</v>
      </c>
      <c r="C21" s="1" t="n">
        <v>45642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17903-2019</t>
        </is>
      </c>
      <c r="B22" s="1" t="n">
        <v>43557</v>
      </c>
      <c r="C22" s="1" t="n">
        <v>45642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18185-2019</t>
        </is>
      </c>
      <c r="B23" s="1" t="n">
        <v>43558</v>
      </c>
      <c r="C23" s="1" t="n">
        <v>45642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18491-2019</t>
        </is>
      </c>
      <c r="B24" s="1" t="n">
        <v>43558</v>
      </c>
      <c r="C24" s="1" t="n">
        <v>45642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18818-2019</t>
        </is>
      </c>
      <c r="B25" s="1" t="n">
        <v>43563</v>
      </c>
      <c r="C25" s="1" t="n">
        <v>45642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19673-2019</t>
        </is>
      </c>
      <c r="B26" s="1" t="n">
        <v>43566</v>
      </c>
      <c r="C26" s="1" t="n">
        <v>45642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19893-2019</t>
        </is>
      </c>
      <c r="B27" s="1" t="n">
        <v>43567</v>
      </c>
      <c r="C27" s="1" t="n">
        <v>45642</v>
      </c>
      <c r="D27" t="inlineStr">
        <is>
          <t>JÖNKÖPINGS LÄN</t>
        </is>
      </c>
      <c r="E27" t="inlineStr">
        <is>
          <t>GISLAVED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20241-2019</t>
        </is>
      </c>
      <c r="B28" s="1" t="n">
        <v>43567</v>
      </c>
      <c r="C28" s="1" t="n">
        <v>45642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21214-2019</t>
        </is>
      </c>
      <c r="B29" s="1" t="n">
        <v>43579</v>
      </c>
      <c r="C29" s="1" t="n">
        <v>45642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21221-2019</t>
        </is>
      </c>
      <c r="B30" s="1" t="n">
        <v>43579</v>
      </c>
      <c r="C30" s="1" t="n">
        <v>45642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22078-2019</t>
        </is>
      </c>
      <c r="B31" s="1" t="n">
        <v>43584</v>
      </c>
      <c r="C31" s="1" t="n">
        <v>45642</v>
      </c>
      <c r="D31" t="inlineStr">
        <is>
          <t>JÖNKÖPINGS LÄN</t>
        </is>
      </c>
      <c r="E31" t="inlineStr">
        <is>
          <t>GISLAVED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22475-2019</t>
        </is>
      </c>
      <c r="B32" s="1" t="n">
        <v>43587</v>
      </c>
      <c r="C32" s="1" t="n">
        <v>45642</v>
      </c>
      <c r="D32" t="inlineStr">
        <is>
          <t>JÖNKÖPINGS LÄN</t>
        </is>
      </c>
      <c r="E32" t="inlineStr">
        <is>
          <t>GISLAVED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22476-2019</t>
        </is>
      </c>
      <c r="B33" s="1" t="n">
        <v>43587</v>
      </c>
      <c r="C33" s="1" t="n">
        <v>45642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24223-2019</t>
        </is>
      </c>
      <c r="B34" s="1" t="n">
        <v>43599</v>
      </c>
      <c r="C34" s="1" t="n">
        <v>45642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24471-2019</t>
        </is>
      </c>
      <c r="B35" s="1" t="n">
        <v>43600</v>
      </c>
      <c r="C35" s="1" t="n">
        <v>45642</v>
      </c>
      <c r="D35" t="inlineStr">
        <is>
          <t>JÖNKÖPINGS LÄN</t>
        </is>
      </c>
      <c r="E35" t="inlineStr">
        <is>
          <t>GISLAVED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24997-2019</t>
        </is>
      </c>
      <c r="B36" s="1" t="n">
        <v>43602</v>
      </c>
      <c r="C36" s="1" t="n">
        <v>45642</v>
      </c>
      <c r="D36" t="inlineStr">
        <is>
          <t>JÖNKÖPINGS LÄN</t>
        </is>
      </c>
      <c r="E36" t="inlineStr">
        <is>
          <t>GISLAVED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25093-2019</t>
        </is>
      </c>
      <c r="B37" s="1" t="n">
        <v>43605</v>
      </c>
      <c r="C37" s="1" t="n">
        <v>45642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25263-2019</t>
        </is>
      </c>
      <c r="B38" s="1" t="n">
        <v>43605</v>
      </c>
      <c r="C38" s="1" t="n">
        <v>45642</v>
      </c>
      <c r="D38" t="inlineStr">
        <is>
          <t>JÖNKÖPINGS LÄN</t>
        </is>
      </c>
      <c r="E38" t="inlineStr">
        <is>
          <t>GISLAVED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26735-2019</t>
        </is>
      </c>
      <c r="B39" s="1" t="n">
        <v>43607</v>
      </c>
      <c r="C39" s="1" t="n">
        <v>45642</v>
      </c>
      <c r="D39" t="inlineStr">
        <is>
          <t>JÖNKÖPINGS LÄN</t>
        </is>
      </c>
      <c r="E39" t="inlineStr">
        <is>
          <t>GISLAVED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27731-2019</t>
        </is>
      </c>
      <c r="B40" s="1" t="n">
        <v>43612</v>
      </c>
      <c r="C40" s="1" t="n">
        <v>45642</v>
      </c>
      <c r="D40" t="inlineStr">
        <is>
          <t>JÖNKÖPINGS LÄN</t>
        </is>
      </c>
      <c r="E40" t="inlineStr">
        <is>
          <t>GISLAVED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27734-2019</t>
        </is>
      </c>
      <c r="B41" s="1" t="n">
        <v>43612</v>
      </c>
      <c r="C41" s="1" t="n">
        <v>45642</v>
      </c>
      <c r="D41" t="inlineStr">
        <is>
          <t>JÖNKÖPINGS LÄN</t>
        </is>
      </c>
      <c r="E41" t="inlineStr">
        <is>
          <t>GISLAVED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27565-2019</t>
        </is>
      </c>
      <c r="B42" s="1" t="n">
        <v>43619</v>
      </c>
      <c r="C42" s="1" t="n">
        <v>45642</v>
      </c>
      <c r="D42" t="inlineStr">
        <is>
          <t>JÖNKÖPINGS LÄN</t>
        </is>
      </c>
      <c r="E42" t="inlineStr">
        <is>
          <t>GISLAVED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28304-2019</t>
        </is>
      </c>
      <c r="B43" s="1" t="n">
        <v>43623</v>
      </c>
      <c r="C43" s="1" t="n">
        <v>45642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29962-2019</t>
        </is>
      </c>
      <c r="B44" s="1" t="n">
        <v>43633</v>
      </c>
      <c r="C44" s="1" t="n">
        <v>45642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30239-2019</t>
        </is>
      </c>
      <c r="B45" s="1" t="n">
        <v>43634</v>
      </c>
      <c r="C45" s="1" t="n">
        <v>45642</v>
      </c>
      <c r="D45" t="inlineStr">
        <is>
          <t>JÖNKÖPINGS LÄN</t>
        </is>
      </c>
      <c r="E45" t="inlineStr">
        <is>
          <t>GISLAVED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31410-2019</t>
        </is>
      </c>
      <c r="B46" s="1" t="n">
        <v>43641</v>
      </c>
      <c r="C46" s="1" t="n">
        <v>45642</v>
      </c>
      <c r="D46" t="inlineStr">
        <is>
          <t>JÖNKÖPINGS LÄN</t>
        </is>
      </c>
      <c r="E46" t="inlineStr">
        <is>
          <t>GISLAVED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32181-2019</t>
        </is>
      </c>
      <c r="B47" s="1" t="n">
        <v>43643</v>
      </c>
      <c r="C47" s="1" t="n">
        <v>45642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32953-2019</t>
        </is>
      </c>
      <c r="B48" s="1" t="n">
        <v>43648</v>
      </c>
      <c r="C48" s="1" t="n">
        <v>45642</v>
      </c>
      <c r="D48" t="inlineStr">
        <is>
          <t>JÖNKÖPINGS LÄN</t>
        </is>
      </c>
      <c r="E48" t="inlineStr">
        <is>
          <t>GISLAVED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33293-2019</t>
        </is>
      </c>
      <c r="B49" s="1" t="n">
        <v>43650</v>
      </c>
      <c r="C49" s="1" t="n">
        <v>45642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33329-2019</t>
        </is>
      </c>
      <c r="B50" s="1" t="n">
        <v>43650</v>
      </c>
      <c r="C50" s="1" t="n">
        <v>45642</v>
      </c>
      <c r="D50" t="inlineStr">
        <is>
          <t>JÖNKÖPINGS LÄN</t>
        </is>
      </c>
      <c r="E50" t="inlineStr">
        <is>
          <t>GISLAVED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33288-2019</t>
        </is>
      </c>
      <c r="B51" s="1" t="n">
        <v>43650</v>
      </c>
      <c r="C51" s="1" t="n">
        <v>45642</v>
      </c>
      <c r="D51" t="inlineStr">
        <is>
          <t>JÖNKÖPINGS LÄN</t>
        </is>
      </c>
      <c r="E51" t="inlineStr">
        <is>
          <t>GISLAVED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33325-2019</t>
        </is>
      </c>
      <c r="B52" s="1" t="n">
        <v>43650</v>
      </c>
      <c r="C52" s="1" t="n">
        <v>45642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33351-2019</t>
        </is>
      </c>
      <c r="B53" s="1" t="n">
        <v>43650</v>
      </c>
      <c r="C53" s="1" t="n">
        <v>45642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33982-2019</t>
        </is>
      </c>
      <c r="B54" s="1" t="n">
        <v>43654</v>
      </c>
      <c r="C54" s="1" t="n">
        <v>45642</v>
      </c>
      <c r="D54" t="inlineStr">
        <is>
          <t>JÖNKÖPINGS LÄN</t>
        </is>
      </c>
      <c r="E54" t="inlineStr">
        <is>
          <t>GISLAVED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34387-2019</t>
        </is>
      </c>
      <c r="B55" s="1" t="n">
        <v>43656</v>
      </c>
      <c r="C55" s="1" t="n">
        <v>45642</v>
      </c>
      <c r="D55" t="inlineStr">
        <is>
          <t>JÖNKÖPINGS LÄN</t>
        </is>
      </c>
      <c r="E55" t="inlineStr">
        <is>
          <t>GISLAVED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34642-2019</t>
        </is>
      </c>
      <c r="B56" s="1" t="n">
        <v>43657</v>
      </c>
      <c r="C56" s="1" t="n">
        <v>45642</v>
      </c>
      <c r="D56" t="inlineStr">
        <is>
          <t>JÖNKÖPINGS LÄN</t>
        </is>
      </c>
      <c r="E56" t="inlineStr">
        <is>
          <t>GISLAVED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35411-2019</t>
        </is>
      </c>
      <c r="B57" s="1" t="n">
        <v>43663</v>
      </c>
      <c r="C57" s="1" t="n">
        <v>45642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35574-2019</t>
        </is>
      </c>
      <c r="B58" s="1" t="n">
        <v>43664</v>
      </c>
      <c r="C58" s="1" t="n">
        <v>45642</v>
      </c>
      <c r="D58" t="inlineStr">
        <is>
          <t>JÖNKÖPINGS LÄN</t>
        </is>
      </c>
      <c r="E58" t="inlineStr">
        <is>
          <t>GISLAVED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35618-2019</t>
        </is>
      </c>
      <c r="B59" s="1" t="n">
        <v>43664</v>
      </c>
      <c r="C59" s="1" t="n">
        <v>45642</v>
      </c>
      <c r="D59" t="inlineStr">
        <is>
          <t>JÖNKÖPINGS LÄN</t>
        </is>
      </c>
      <c r="E59" t="inlineStr">
        <is>
          <t>GISLAVED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38952-2019</t>
        </is>
      </c>
      <c r="B60" s="1" t="n">
        <v>43689</v>
      </c>
      <c r="C60" s="1" t="n">
        <v>45642</v>
      </c>
      <c r="D60" t="inlineStr">
        <is>
          <t>JÖNKÖPINGS LÄN</t>
        </is>
      </c>
      <c r="E60" t="inlineStr">
        <is>
          <t>GISLAVED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39152-2019</t>
        </is>
      </c>
      <c r="B61" s="1" t="n">
        <v>43690</v>
      </c>
      <c r="C61" s="1" t="n">
        <v>45642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39563-2019</t>
        </is>
      </c>
      <c r="B62" s="1" t="n">
        <v>43691</v>
      </c>
      <c r="C62" s="1" t="n">
        <v>45642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39557-2019</t>
        </is>
      </c>
      <c r="B63" s="1" t="n">
        <v>43691</v>
      </c>
      <c r="C63" s="1" t="n">
        <v>45642</v>
      </c>
      <c r="D63" t="inlineStr">
        <is>
          <t>JÖNKÖPINGS LÄN</t>
        </is>
      </c>
      <c r="E63" t="inlineStr">
        <is>
          <t>GISLAVED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39747-2019</t>
        </is>
      </c>
      <c r="B64" s="1" t="n">
        <v>43692</v>
      </c>
      <c r="C64" s="1" t="n">
        <v>45642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39751-2019</t>
        </is>
      </c>
      <c r="B65" s="1" t="n">
        <v>43692</v>
      </c>
      <c r="C65" s="1" t="n">
        <v>45642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40377-2019</t>
        </is>
      </c>
      <c r="B66" s="1" t="n">
        <v>43696</v>
      </c>
      <c r="C66" s="1" t="n">
        <v>45642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40854-2019</t>
        </is>
      </c>
      <c r="B67" s="1" t="n">
        <v>43697</v>
      </c>
      <c r="C67" s="1" t="n">
        <v>45642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40851-2019</t>
        </is>
      </c>
      <c r="B68" s="1" t="n">
        <v>43697</v>
      </c>
      <c r="C68" s="1" t="n">
        <v>45642</v>
      </c>
      <c r="D68" t="inlineStr">
        <is>
          <t>JÖNKÖPINGS LÄN</t>
        </is>
      </c>
      <c r="E68" t="inlineStr">
        <is>
          <t>GISLAVED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40906-2019</t>
        </is>
      </c>
      <c r="B69" s="1" t="n">
        <v>43697</v>
      </c>
      <c r="C69" s="1" t="n">
        <v>45642</v>
      </c>
      <c r="D69" t="inlineStr">
        <is>
          <t>JÖNKÖPINGS LÄN</t>
        </is>
      </c>
      <c r="E69" t="inlineStr">
        <is>
          <t>GISLAVED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42639-2019</t>
        </is>
      </c>
      <c r="B70" s="1" t="n">
        <v>43704</v>
      </c>
      <c r="C70" s="1" t="n">
        <v>45642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42652-2019</t>
        </is>
      </c>
      <c r="B71" s="1" t="n">
        <v>43704</v>
      </c>
      <c r="C71" s="1" t="n">
        <v>45642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42584-2019</t>
        </is>
      </c>
      <c r="B72" s="1" t="n">
        <v>43704</v>
      </c>
      <c r="C72" s="1" t="n">
        <v>45642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42933-2019</t>
        </is>
      </c>
      <c r="B73" s="1" t="n">
        <v>43705</v>
      </c>
      <c r="C73" s="1" t="n">
        <v>45642</v>
      </c>
      <c r="D73" t="inlineStr">
        <is>
          <t>JÖNKÖPINGS LÄN</t>
        </is>
      </c>
      <c r="E73" t="inlineStr">
        <is>
          <t>GISLAVED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44072-2019</t>
        </is>
      </c>
      <c r="B74" s="1" t="n">
        <v>43710</v>
      </c>
      <c r="C74" s="1" t="n">
        <v>45642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44957-2019</t>
        </is>
      </c>
      <c r="B75" s="1" t="n">
        <v>43713</v>
      </c>
      <c r="C75" s="1" t="n">
        <v>45642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46000-2019</t>
        </is>
      </c>
      <c r="B76" s="1" t="n">
        <v>43713</v>
      </c>
      <c r="C76" s="1" t="n">
        <v>45642</v>
      </c>
      <c r="D76" t="inlineStr">
        <is>
          <t>JÖNKÖPINGS LÄN</t>
        </is>
      </c>
      <c r="E76" t="inlineStr">
        <is>
          <t>GISLAVED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45853-2019</t>
        </is>
      </c>
      <c r="B77" s="1" t="n">
        <v>43717</v>
      </c>
      <c r="C77" s="1" t="n">
        <v>45642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47052-2019</t>
        </is>
      </c>
      <c r="B78" s="1" t="n">
        <v>43720</v>
      </c>
      <c r="C78" s="1" t="n">
        <v>45642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47982-2019</t>
        </is>
      </c>
      <c r="B79" s="1" t="n">
        <v>43725</v>
      </c>
      <c r="C79" s="1" t="n">
        <v>45642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48408-2019</t>
        </is>
      </c>
      <c r="B80" s="1" t="n">
        <v>43727</v>
      </c>
      <c r="C80" s="1" t="n">
        <v>45642</v>
      </c>
      <c r="D80" t="inlineStr">
        <is>
          <t>JÖNKÖPINGS LÄN</t>
        </is>
      </c>
      <c r="E80" t="inlineStr">
        <is>
          <t>GISLAVED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48423-2019</t>
        </is>
      </c>
      <c r="B81" s="1" t="n">
        <v>43727</v>
      </c>
      <c r="C81" s="1" t="n">
        <v>45642</v>
      </c>
      <c r="D81" t="inlineStr">
        <is>
          <t>JÖNKÖPINGS LÄN</t>
        </is>
      </c>
      <c r="E81" t="inlineStr">
        <is>
          <t>GISLAVED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48421-2019</t>
        </is>
      </c>
      <c r="B82" s="1" t="n">
        <v>43727</v>
      </c>
      <c r="C82" s="1" t="n">
        <v>45642</v>
      </c>
      <c r="D82" t="inlineStr">
        <is>
          <t>JÖNKÖPINGS LÄN</t>
        </is>
      </c>
      <c r="E82" t="inlineStr">
        <is>
          <t>GISLAVED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51991-2019</t>
        </is>
      </c>
      <c r="B83" s="1" t="n">
        <v>43742</v>
      </c>
      <c r="C83" s="1" t="n">
        <v>45642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56108-2019</t>
        </is>
      </c>
      <c r="B84" s="1" t="n">
        <v>43760</v>
      </c>
      <c r="C84" s="1" t="n">
        <v>45642</v>
      </c>
      <c r="D84" t="inlineStr">
        <is>
          <t>JÖNKÖPINGS LÄN</t>
        </is>
      </c>
      <c r="E84" t="inlineStr">
        <is>
          <t>GISLAVED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58377-2019</t>
        </is>
      </c>
      <c r="B85" s="1" t="n">
        <v>43771</v>
      </c>
      <c r="C85" s="1" t="n">
        <v>45642</v>
      </c>
      <c r="D85" t="inlineStr">
        <is>
          <t>JÖNKÖPINGS LÄN</t>
        </is>
      </c>
      <c r="E85" t="inlineStr">
        <is>
          <t>GISLAVED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58374-2019</t>
        </is>
      </c>
      <c r="B86" s="1" t="n">
        <v>43771</v>
      </c>
      <c r="C86" s="1" t="n">
        <v>45642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59352-2019</t>
        </is>
      </c>
      <c r="B87" s="1" t="n">
        <v>43775</v>
      </c>
      <c r="C87" s="1" t="n">
        <v>45642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61156-2019</t>
        </is>
      </c>
      <c r="B88" s="1" t="n">
        <v>43782</v>
      </c>
      <c r="C88" s="1" t="n">
        <v>45642</v>
      </c>
      <c r="D88" t="inlineStr">
        <is>
          <t>JÖNKÖPINGS LÄN</t>
        </is>
      </c>
      <c r="E88" t="inlineStr">
        <is>
          <t>GISLAVED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61859-2019</t>
        </is>
      </c>
      <c r="B89" s="1" t="n">
        <v>43787</v>
      </c>
      <c r="C89" s="1" t="n">
        <v>45642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64323-2019</t>
        </is>
      </c>
      <c r="B90" s="1" t="n">
        <v>43791</v>
      </c>
      <c r="C90" s="1" t="n">
        <v>45642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64318-2019</t>
        </is>
      </c>
      <c r="B91" s="1" t="n">
        <v>43791</v>
      </c>
      <c r="C91" s="1" t="n">
        <v>45642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63098-2019</t>
        </is>
      </c>
      <c r="B92" s="1" t="n">
        <v>43791</v>
      </c>
      <c r="C92" s="1" t="n">
        <v>45642</v>
      </c>
      <c r="D92" t="inlineStr">
        <is>
          <t>JÖNKÖPINGS LÄN</t>
        </is>
      </c>
      <c r="E92" t="inlineStr">
        <is>
          <t>GISLAVED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64286-2019</t>
        </is>
      </c>
      <c r="B93" s="1" t="n">
        <v>43791</v>
      </c>
      <c r="C93" s="1" t="n">
        <v>45642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64418-2019</t>
        </is>
      </c>
      <c r="B94" s="1" t="n">
        <v>43797</v>
      </c>
      <c r="C94" s="1" t="n">
        <v>45642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64312-2019</t>
        </is>
      </c>
      <c r="B95" s="1" t="n">
        <v>43797</v>
      </c>
      <c r="C95" s="1" t="n">
        <v>45642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65708-2019</t>
        </is>
      </c>
      <c r="B96" s="1" t="n">
        <v>43804</v>
      </c>
      <c r="C96" s="1" t="n">
        <v>45642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65985-2019</t>
        </is>
      </c>
      <c r="B97" s="1" t="n">
        <v>43805</v>
      </c>
      <c r="C97" s="1" t="n">
        <v>45642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66814-2019</t>
        </is>
      </c>
      <c r="B98" s="1" t="n">
        <v>43810</v>
      </c>
      <c r="C98" s="1" t="n">
        <v>45642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66921-2019</t>
        </is>
      </c>
      <c r="B99" s="1" t="n">
        <v>43810</v>
      </c>
      <c r="C99" s="1" t="n">
        <v>45642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66809-2019</t>
        </is>
      </c>
      <c r="B100" s="1" t="n">
        <v>43810</v>
      </c>
      <c r="C100" s="1" t="n">
        <v>45642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66812-2019</t>
        </is>
      </c>
      <c r="B101" s="1" t="n">
        <v>43810</v>
      </c>
      <c r="C101" s="1" t="n">
        <v>45642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67034-2019</t>
        </is>
      </c>
      <c r="B102" s="1" t="n">
        <v>43811</v>
      </c>
      <c r="C102" s="1" t="n">
        <v>45642</v>
      </c>
      <c r="D102" t="inlineStr">
        <is>
          <t>JÖNKÖPINGS LÄN</t>
        </is>
      </c>
      <c r="E102" t="inlineStr">
        <is>
          <t>GISLAVED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67032-2019</t>
        </is>
      </c>
      <c r="B103" s="1" t="n">
        <v>43811</v>
      </c>
      <c r="C103" s="1" t="n">
        <v>45642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67785-2019</t>
        </is>
      </c>
      <c r="B104" s="1" t="n">
        <v>43815</v>
      </c>
      <c r="C104" s="1" t="n">
        <v>45642</v>
      </c>
      <c r="D104" t="inlineStr">
        <is>
          <t>JÖNKÖPINGS LÄN</t>
        </is>
      </c>
      <c r="E104" t="inlineStr">
        <is>
          <t>GISLAVED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706-2020</t>
        </is>
      </c>
      <c r="B105" s="1" t="n">
        <v>43838</v>
      </c>
      <c r="C105" s="1" t="n">
        <v>45642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552-2020</t>
        </is>
      </c>
      <c r="B106" s="1" t="n">
        <v>43838</v>
      </c>
      <c r="C106" s="1" t="n">
        <v>45642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778-2020</t>
        </is>
      </c>
      <c r="B107" s="1" t="n">
        <v>43838</v>
      </c>
      <c r="C107" s="1" t="n">
        <v>45642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782-2020</t>
        </is>
      </c>
      <c r="B108" s="1" t="n">
        <v>43838</v>
      </c>
      <c r="C108" s="1" t="n">
        <v>45642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1273-2020</t>
        </is>
      </c>
      <c r="B109" s="1" t="n">
        <v>43841</v>
      </c>
      <c r="C109" s="1" t="n">
        <v>45642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2635-2020</t>
        </is>
      </c>
      <c r="B110" s="1" t="n">
        <v>43847</v>
      </c>
      <c r="C110" s="1" t="n">
        <v>45642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4542-2020</t>
        </is>
      </c>
      <c r="B111" s="1" t="n">
        <v>43858</v>
      </c>
      <c r="C111" s="1" t="n">
        <v>45642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6113-2020</t>
        </is>
      </c>
      <c r="B112" s="1" t="n">
        <v>43865</v>
      </c>
      <c r="C112" s="1" t="n">
        <v>45642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7127-2020</t>
        </is>
      </c>
      <c r="B113" s="1" t="n">
        <v>43868</v>
      </c>
      <c r="C113" s="1" t="n">
        <v>45642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7446-2020</t>
        </is>
      </c>
      <c r="B114" s="1" t="n">
        <v>43871</v>
      </c>
      <c r="C114" s="1" t="n">
        <v>45642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9910-2020</t>
        </is>
      </c>
      <c r="B115" s="1" t="n">
        <v>43882</v>
      </c>
      <c r="C115" s="1" t="n">
        <v>45642</v>
      </c>
      <c r="D115" t="inlineStr">
        <is>
          <t>JÖNKÖPINGS LÄN</t>
        </is>
      </c>
      <c r="E115" t="inlineStr">
        <is>
          <t>GISLAVED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10767-2020</t>
        </is>
      </c>
      <c r="B116" s="1" t="n">
        <v>43885</v>
      </c>
      <c r="C116" s="1" t="n">
        <v>45642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10443-2020</t>
        </is>
      </c>
      <c r="B117" s="1" t="n">
        <v>43886</v>
      </c>
      <c r="C117" s="1" t="n">
        <v>45642</v>
      </c>
      <c r="D117" t="inlineStr">
        <is>
          <t>JÖNKÖPINGS LÄN</t>
        </is>
      </c>
      <c r="E117" t="inlineStr">
        <is>
          <t>GISLAVED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10438-2020</t>
        </is>
      </c>
      <c r="B118" s="1" t="n">
        <v>43886</v>
      </c>
      <c r="C118" s="1" t="n">
        <v>45642</v>
      </c>
      <c r="D118" t="inlineStr">
        <is>
          <t>JÖNKÖPINGS LÄN</t>
        </is>
      </c>
      <c r="E118" t="inlineStr">
        <is>
          <t>GISLAVED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11003-2020</t>
        </is>
      </c>
      <c r="B119" s="1" t="n">
        <v>43889</v>
      </c>
      <c r="C119" s="1" t="n">
        <v>45642</v>
      </c>
      <c r="D119" t="inlineStr">
        <is>
          <t>JÖNKÖPINGS LÄN</t>
        </is>
      </c>
      <c r="E119" t="inlineStr">
        <is>
          <t>GISLAVED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11008-2020</t>
        </is>
      </c>
      <c r="B120" s="1" t="n">
        <v>43889</v>
      </c>
      <c r="C120" s="1" t="n">
        <v>45642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11532-2020</t>
        </is>
      </c>
      <c r="B121" s="1" t="n">
        <v>43893</v>
      </c>
      <c r="C121" s="1" t="n">
        <v>45642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11670-2020</t>
        </is>
      </c>
      <c r="B122" s="1" t="n">
        <v>43893</v>
      </c>
      <c r="C122" s="1" t="n">
        <v>45642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12788-2020</t>
        </is>
      </c>
      <c r="B123" s="1" t="n">
        <v>43899</v>
      </c>
      <c r="C123" s="1" t="n">
        <v>45642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13249-2020</t>
        </is>
      </c>
      <c r="B124" s="1" t="n">
        <v>43901</v>
      </c>
      <c r="C124" s="1" t="n">
        <v>45642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13439-2020</t>
        </is>
      </c>
      <c r="B125" s="1" t="n">
        <v>43902</v>
      </c>
      <c r="C125" s="1" t="n">
        <v>45642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13485-2020</t>
        </is>
      </c>
      <c r="B126" s="1" t="n">
        <v>43902</v>
      </c>
      <c r="C126" s="1" t="n">
        <v>45642</v>
      </c>
      <c r="D126" t="inlineStr">
        <is>
          <t>JÖNKÖPINGS LÄN</t>
        </is>
      </c>
      <c r="E126" t="inlineStr">
        <is>
          <t>GISLAVED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14707-2020</t>
        </is>
      </c>
      <c r="B127" s="1" t="n">
        <v>43903</v>
      </c>
      <c r="C127" s="1" t="n">
        <v>45642</v>
      </c>
      <c r="D127" t="inlineStr">
        <is>
          <t>JÖNKÖPINGS LÄN</t>
        </is>
      </c>
      <c r="E127" t="inlineStr">
        <is>
          <t>GISLAVED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16733-2020</t>
        </is>
      </c>
      <c r="B128" s="1" t="n">
        <v>43908</v>
      </c>
      <c r="C128" s="1" t="n">
        <v>45642</v>
      </c>
      <c r="D128" t="inlineStr">
        <is>
          <t>JÖNKÖPINGS LÄN</t>
        </is>
      </c>
      <c r="E128" t="inlineStr">
        <is>
          <t>GISLAVED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14773-2020</t>
        </is>
      </c>
      <c r="B129" s="1" t="n">
        <v>43909</v>
      </c>
      <c r="C129" s="1" t="n">
        <v>45642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15097-2020</t>
        </is>
      </c>
      <c r="B130" s="1" t="n">
        <v>43909</v>
      </c>
      <c r="C130" s="1" t="n">
        <v>45642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16567-2020</t>
        </is>
      </c>
      <c r="B131" s="1" t="n">
        <v>43910</v>
      </c>
      <c r="C131" s="1" t="n">
        <v>45642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17142-2020</t>
        </is>
      </c>
      <c r="B132" s="1" t="n">
        <v>43922</v>
      </c>
      <c r="C132" s="1" t="n">
        <v>45642</v>
      </c>
      <c r="D132" t="inlineStr">
        <is>
          <t>JÖNKÖPINGS LÄN</t>
        </is>
      </c>
      <c r="E132" t="inlineStr">
        <is>
          <t>GISLAVED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17633-2020</t>
        </is>
      </c>
      <c r="B133" s="1" t="n">
        <v>43923</v>
      </c>
      <c r="C133" s="1" t="n">
        <v>45642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19253-2020</t>
        </is>
      </c>
      <c r="B134" s="1" t="n">
        <v>43937</v>
      </c>
      <c r="C134" s="1" t="n">
        <v>45642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19246-2020</t>
        </is>
      </c>
      <c r="B135" s="1" t="n">
        <v>43937</v>
      </c>
      <c r="C135" s="1" t="n">
        <v>45642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19255-2020</t>
        </is>
      </c>
      <c r="B136" s="1" t="n">
        <v>43937</v>
      </c>
      <c r="C136" s="1" t="n">
        <v>45642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19250-2020</t>
        </is>
      </c>
      <c r="B137" s="1" t="n">
        <v>43937</v>
      </c>
      <c r="C137" s="1" t="n">
        <v>45642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19945-2020</t>
        </is>
      </c>
      <c r="B138" s="1" t="n">
        <v>43943</v>
      </c>
      <c r="C138" s="1" t="n">
        <v>45642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20021-2020</t>
        </is>
      </c>
      <c r="B139" s="1" t="n">
        <v>43943</v>
      </c>
      <c r="C139" s="1" t="n">
        <v>45642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20485-2020</t>
        </is>
      </c>
      <c r="B140" s="1" t="n">
        <v>43948</v>
      </c>
      <c r="C140" s="1" t="n">
        <v>45642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20629-2020</t>
        </is>
      </c>
      <c r="B141" s="1" t="n">
        <v>43949</v>
      </c>
      <c r="C141" s="1" t="n">
        <v>45642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20628-2020</t>
        </is>
      </c>
      <c r="B142" s="1" t="n">
        <v>43949</v>
      </c>
      <c r="C142" s="1" t="n">
        <v>45642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21264-2020</t>
        </is>
      </c>
      <c r="B143" s="1" t="n">
        <v>43955</v>
      </c>
      <c r="C143" s="1" t="n">
        <v>45642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23236-2020</t>
        </is>
      </c>
      <c r="B144" s="1" t="n">
        <v>43966</v>
      </c>
      <c r="C144" s="1" t="n">
        <v>45642</v>
      </c>
      <c r="D144" t="inlineStr">
        <is>
          <t>JÖNKÖPINGS LÄN</t>
        </is>
      </c>
      <c r="E144" t="inlineStr">
        <is>
          <t>GISLAVED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23609-2020</t>
        </is>
      </c>
      <c r="B145" s="1" t="n">
        <v>43969</v>
      </c>
      <c r="C145" s="1" t="n">
        <v>45642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24161-2020</t>
        </is>
      </c>
      <c r="B146" s="1" t="n">
        <v>43974</v>
      </c>
      <c r="C146" s="1" t="n">
        <v>45642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24175-2020</t>
        </is>
      </c>
      <c r="B147" s="1" t="n">
        <v>43975</v>
      </c>
      <c r="C147" s="1" t="n">
        <v>45642</v>
      </c>
      <c r="D147" t="inlineStr">
        <is>
          <t>JÖNKÖPINGS LÄN</t>
        </is>
      </c>
      <c r="E147" t="inlineStr">
        <is>
          <t>GISLAVED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26660-2020</t>
        </is>
      </c>
      <c r="B148" s="1" t="n">
        <v>43989</v>
      </c>
      <c r="C148" s="1" t="n">
        <v>45642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27978-2020</t>
        </is>
      </c>
      <c r="B149" s="1" t="n">
        <v>43997</v>
      </c>
      <c r="C149" s="1" t="n">
        <v>45642</v>
      </c>
      <c r="D149" t="inlineStr">
        <is>
          <t>JÖNKÖPINGS LÄN</t>
        </is>
      </c>
      <c r="E149" t="inlineStr">
        <is>
          <t>GISLAVED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29123-2020</t>
        </is>
      </c>
      <c r="B150" s="1" t="n">
        <v>43998</v>
      </c>
      <c r="C150" s="1" t="n">
        <v>45642</v>
      </c>
      <c r="D150" t="inlineStr">
        <is>
          <t>JÖNKÖPINGS LÄN</t>
        </is>
      </c>
      <c r="E150" t="inlineStr">
        <is>
          <t>GISLAVED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28937-2020</t>
        </is>
      </c>
      <c r="B151" s="1" t="n">
        <v>44000</v>
      </c>
      <c r="C151" s="1" t="n">
        <v>45642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29273-2020</t>
        </is>
      </c>
      <c r="B152" s="1" t="n">
        <v>44004</v>
      </c>
      <c r="C152" s="1" t="n">
        <v>45642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29295-2020</t>
        </is>
      </c>
      <c r="B153" s="1" t="n">
        <v>44004</v>
      </c>
      <c r="C153" s="1" t="n">
        <v>45642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29290-2020</t>
        </is>
      </c>
      <c r="B154" s="1" t="n">
        <v>44004</v>
      </c>
      <c r="C154" s="1" t="n">
        <v>45642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31849-2020</t>
        </is>
      </c>
      <c r="B155" s="1" t="n">
        <v>44014</v>
      </c>
      <c r="C155" s="1" t="n">
        <v>45642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32206-2020</t>
        </is>
      </c>
      <c r="B156" s="1" t="n">
        <v>44015</v>
      </c>
      <c r="C156" s="1" t="n">
        <v>45642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33276-2020</t>
        </is>
      </c>
      <c r="B157" s="1" t="n">
        <v>44022</v>
      </c>
      <c r="C157" s="1" t="n">
        <v>45642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33368-2020</t>
        </is>
      </c>
      <c r="B158" s="1" t="n">
        <v>44022</v>
      </c>
      <c r="C158" s="1" t="n">
        <v>45642</v>
      </c>
      <c r="D158" t="inlineStr">
        <is>
          <t>JÖNKÖPINGS LÄN</t>
        </is>
      </c>
      <c r="E158" t="inlineStr">
        <is>
          <t>GISLAVED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33384-2020</t>
        </is>
      </c>
      <c r="B159" s="1" t="n">
        <v>44022</v>
      </c>
      <c r="C159" s="1" t="n">
        <v>45642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33271-2020</t>
        </is>
      </c>
      <c r="B160" s="1" t="n">
        <v>44022</v>
      </c>
      <c r="C160" s="1" t="n">
        <v>45642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33268-2020</t>
        </is>
      </c>
      <c r="B161" s="1" t="n">
        <v>44022</v>
      </c>
      <c r="C161" s="1" t="n">
        <v>45642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33386-2020</t>
        </is>
      </c>
      <c r="B162" s="1" t="n">
        <v>44022</v>
      </c>
      <c r="C162" s="1" t="n">
        <v>45642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33560-2020</t>
        </is>
      </c>
      <c r="B163" s="1" t="n">
        <v>44025</v>
      </c>
      <c r="C163" s="1" t="n">
        <v>45642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33820-2020</t>
        </is>
      </c>
      <c r="B164" s="1" t="n">
        <v>44027</v>
      </c>
      <c r="C164" s="1" t="n">
        <v>45642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35068-2020</t>
        </is>
      </c>
      <c r="B165" s="1" t="n">
        <v>44039</v>
      </c>
      <c r="C165" s="1" t="n">
        <v>45642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36029-2020</t>
        </is>
      </c>
      <c r="B166" s="1" t="n">
        <v>44047</v>
      </c>
      <c r="C166" s="1" t="n">
        <v>45642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37348-2020</t>
        </is>
      </c>
      <c r="B167" s="1" t="n">
        <v>44055</v>
      </c>
      <c r="C167" s="1" t="n">
        <v>45642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39242-2020</t>
        </is>
      </c>
      <c r="B168" s="1" t="n">
        <v>44063</v>
      </c>
      <c r="C168" s="1" t="n">
        <v>45642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39482-2020</t>
        </is>
      </c>
      <c r="B169" s="1" t="n">
        <v>44064</v>
      </c>
      <c r="C169" s="1" t="n">
        <v>45642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39552-2020</t>
        </is>
      </c>
      <c r="B170" s="1" t="n">
        <v>44064</v>
      </c>
      <c r="C170" s="1" t="n">
        <v>45642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39697-2020</t>
        </is>
      </c>
      <c r="B171" s="1" t="n">
        <v>44066</v>
      </c>
      <c r="C171" s="1" t="n">
        <v>45642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39690-2020</t>
        </is>
      </c>
      <c r="B172" s="1" t="n">
        <v>44066</v>
      </c>
      <c r="C172" s="1" t="n">
        <v>45642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39698-2020</t>
        </is>
      </c>
      <c r="B173" s="1" t="n">
        <v>44066</v>
      </c>
      <c r="C173" s="1" t="n">
        <v>45642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41526-2020</t>
        </is>
      </c>
      <c r="B174" s="1" t="n">
        <v>44069</v>
      </c>
      <c r="C174" s="1" t="n">
        <v>45642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40969-2020</t>
        </is>
      </c>
      <c r="B175" s="1" t="n">
        <v>44070</v>
      </c>
      <c r="C175" s="1" t="n">
        <v>45642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43038-2020</t>
        </is>
      </c>
      <c r="B176" s="1" t="n">
        <v>44078</v>
      </c>
      <c r="C176" s="1" t="n">
        <v>45642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43400-2020</t>
        </is>
      </c>
      <c r="B177" s="1" t="n">
        <v>44081</v>
      </c>
      <c r="C177" s="1" t="n">
        <v>45642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44164-2020</t>
        </is>
      </c>
      <c r="B178" s="1" t="n">
        <v>44083</v>
      </c>
      <c r="C178" s="1" t="n">
        <v>45642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44167-2020</t>
        </is>
      </c>
      <c r="B179" s="1" t="n">
        <v>44083</v>
      </c>
      <c r="C179" s="1" t="n">
        <v>45642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44171-2020</t>
        </is>
      </c>
      <c r="B180" s="1" t="n">
        <v>44083</v>
      </c>
      <c r="C180" s="1" t="n">
        <v>45642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45051-2020</t>
        </is>
      </c>
      <c r="B181" s="1" t="n">
        <v>44088</v>
      </c>
      <c r="C181" s="1" t="n">
        <v>45642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45583-2020</t>
        </is>
      </c>
      <c r="B182" s="1" t="n">
        <v>44090</v>
      </c>
      <c r="C182" s="1" t="n">
        <v>45642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48050-2020</t>
        </is>
      </c>
      <c r="B183" s="1" t="n">
        <v>44099</v>
      </c>
      <c r="C183" s="1" t="n">
        <v>45642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48064-2020</t>
        </is>
      </c>
      <c r="B184" s="1" t="n">
        <v>44100</v>
      </c>
      <c r="C184" s="1" t="n">
        <v>45642</v>
      </c>
      <c r="D184" t="inlineStr">
        <is>
          <t>JÖNKÖPINGS LÄN</t>
        </is>
      </c>
      <c r="E184" t="inlineStr">
        <is>
          <t>GISLAVED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48747-2020</t>
        </is>
      </c>
      <c r="B185" s="1" t="n">
        <v>44103</v>
      </c>
      <c r="C185" s="1" t="n">
        <v>45642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50872-2020</t>
        </is>
      </c>
      <c r="B186" s="1" t="n">
        <v>44111</v>
      </c>
      <c r="C186" s="1" t="n">
        <v>45642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52392-2020</t>
        </is>
      </c>
      <c r="B187" s="1" t="n">
        <v>44118</v>
      </c>
      <c r="C187" s="1" t="n">
        <v>45642</v>
      </c>
      <c r="D187" t="inlineStr">
        <is>
          <t>JÖNKÖPINGS LÄN</t>
        </is>
      </c>
      <c r="E187" t="inlineStr">
        <is>
          <t>GISLAVED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52831-2020</t>
        </is>
      </c>
      <c r="B188" s="1" t="n">
        <v>44119</v>
      </c>
      <c r="C188" s="1" t="n">
        <v>45642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54550-2020</t>
        </is>
      </c>
      <c r="B189" s="1" t="n">
        <v>44126</v>
      </c>
      <c r="C189" s="1" t="n">
        <v>45642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56028-2020</t>
        </is>
      </c>
      <c r="B190" s="1" t="n">
        <v>44133</v>
      </c>
      <c r="C190" s="1" t="n">
        <v>45642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56031-2020</t>
        </is>
      </c>
      <c r="B191" s="1" t="n">
        <v>44133</v>
      </c>
      <c r="C191" s="1" t="n">
        <v>45642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56852-2020</t>
        </is>
      </c>
      <c r="B192" s="1" t="n">
        <v>44138</v>
      </c>
      <c r="C192" s="1" t="n">
        <v>45642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56997-2020</t>
        </is>
      </c>
      <c r="B193" s="1" t="n">
        <v>44138</v>
      </c>
      <c r="C193" s="1" t="n">
        <v>45642</v>
      </c>
      <c r="D193" t="inlineStr">
        <is>
          <t>JÖNKÖPINGS LÄN</t>
        </is>
      </c>
      <c r="E193" t="inlineStr">
        <is>
          <t>GISLAVED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57507-2020</t>
        </is>
      </c>
      <c r="B194" s="1" t="n">
        <v>44140</v>
      </c>
      <c r="C194" s="1" t="n">
        <v>45642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58448-2020</t>
        </is>
      </c>
      <c r="B195" s="1" t="n">
        <v>44145</v>
      </c>
      <c r="C195" s="1" t="n">
        <v>45642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58862-2020</t>
        </is>
      </c>
      <c r="B196" s="1" t="n">
        <v>44146</v>
      </c>
      <c r="C196" s="1" t="n">
        <v>45642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59359-2020</t>
        </is>
      </c>
      <c r="B197" s="1" t="n">
        <v>44148</v>
      </c>
      <c r="C197" s="1" t="n">
        <v>45642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59357-2020</t>
        </is>
      </c>
      <c r="B198" s="1" t="n">
        <v>44148</v>
      </c>
      <c r="C198" s="1" t="n">
        <v>45642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59355-2020</t>
        </is>
      </c>
      <c r="B199" s="1" t="n">
        <v>44148</v>
      </c>
      <c r="C199" s="1" t="n">
        <v>45642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59362-2020</t>
        </is>
      </c>
      <c r="B200" s="1" t="n">
        <v>44148</v>
      </c>
      <c r="C200" s="1" t="n">
        <v>45642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62113-2020</t>
        </is>
      </c>
      <c r="B201" s="1" t="n">
        <v>44159</v>
      </c>
      <c r="C201" s="1" t="n">
        <v>45642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62119-2020</t>
        </is>
      </c>
      <c r="B202" s="1" t="n">
        <v>44159</v>
      </c>
      <c r="C202" s="1" t="n">
        <v>45642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62838-2020</t>
        </is>
      </c>
      <c r="B203" s="1" t="n">
        <v>44161</v>
      </c>
      <c r="C203" s="1" t="n">
        <v>45642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62839-2020</t>
        </is>
      </c>
      <c r="B204" s="1" t="n">
        <v>44161</v>
      </c>
      <c r="C204" s="1" t="n">
        <v>45642</v>
      </c>
      <c r="D204" t="inlineStr">
        <is>
          <t>JÖNKÖPINGS LÄN</t>
        </is>
      </c>
      <c r="E204" t="inlineStr">
        <is>
          <t>GISLAVED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63413-2020</t>
        </is>
      </c>
      <c r="B205" s="1" t="n">
        <v>44165</v>
      </c>
      <c r="C205" s="1" t="n">
        <v>45642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63489-2020</t>
        </is>
      </c>
      <c r="B206" s="1" t="n">
        <v>44165</v>
      </c>
      <c r="C206" s="1" t="n">
        <v>45642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63798-2020</t>
        </is>
      </c>
      <c r="B207" s="1" t="n">
        <v>44166</v>
      </c>
      <c r="C207" s="1" t="n">
        <v>45642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65431-2020</t>
        </is>
      </c>
      <c r="B208" s="1" t="n">
        <v>44173</v>
      </c>
      <c r="C208" s="1" t="n">
        <v>45642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1062-2021</t>
        </is>
      </c>
      <c r="B209" s="1" t="n">
        <v>44207</v>
      </c>
      <c r="C209" s="1" t="n">
        <v>45642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1220-2021</t>
        </is>
      </c>
      <c r="B210" s="1" t="n">
        <v>44208</v>
      </c>
      <c r="C210" s="1" t="n">
        <v>45642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1312-2021</t>
        </is>
      </c>
      <c r="B211" s="1" t="n">
        <v>44208</v>
      </c>
      <c r="C211" s="1" t="n">
        <v>45642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1529-2021</t>
        </is>
      </c>
      <c r="B212" s="1" t="n">
        <v>44209</v>
      </c>
      <c r="C212" s="1" t="n">
        <v>45642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2739-2021</t>
        </is>
      </c>
      <c r="B213" s="1" t="n">
        <v>44215</v>
      </c>
      <c r="C213" s="1" t="n">
        <v>45642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3046-2021</t>
        </is>
      </c>
      <c r="B214" s="1" t="n">
        <v>44216</v>
      </c>
      <c r="C214" s="1" t="n">
        <v>45642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4535-2021</t>
        </is>
      </c>
      <c r="B215" s="1" t="n">
        <v>44224</v>
      </c>
      <c r="C215" s="1" t="n">
        <v>45642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4994-2021</t>
        </is>
      </c>
      <c r="B216" s="1" t="n">
        <v>44228</v>
      </c>
      <c r="C216" s="1" t="n">
        <v>45642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4997-2021</t>
        </is>
      </c>
      <c r="B217" s="1" t="n">
        <v>44228</v>
      </c>
      <c r="C217" s="1" t="n">
        <v>45642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45642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6075-2021</t>
        </is>
      </c>
      <c r="B219" s="1" t="n">
        <v>44232</v>
      </c>
      <c r="C219" s="1" t="n">
        <v>45642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6250-2021</t>
        </is>
      </c>
      <c r="B220" s="1" t="n">
        <v>44235</v>
      </c>
      <c r="C220" s="1" t="n">
        <v>45642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6629-2021</t>
        </is>
      </c>
      <c r="B221" s="1" t="n">
        <v>44236</v>
      </c>
      <c r="C221" s="1" t="n">
        <v>45642</v>
      </c>
      <c r="D221" t="inlineStr">
        <is>
          <t>JÖNKÖPINGS LÄN</t>
        </is>
      </c>
      <c r="E221" t="inlineStr">
        <is>
          <t>GISLAVED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6537-2021</t>
        </is>
      </c>
      <c r="B222" s="1" t="n">
        <v>44236</v>
      </c>
      <c r="C222" s="1" t="n">
        <v>45642</v>
      </c>
      <c r="D222" t="inlineStr">
        <is>
          <t>JÖNKÖPINGS LÄN</t>
        </is>
      </c>
      <c r="E222" t="inlineStr">
        <is>
          <t>GISLAVED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6630-2021</t>
        </is>
      </c>
      <c r="B223" s="1" t="n">
        <v>44236</v>
      </c>
      <c r="C223" s="1" t="n">
        <v>45642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6863-2021</t>
        </is>
      </c>
      <c r="B224" s="1" t="n">
        <v>44237</v>
      </c>
      <c r="C224" s="1" t="n">
        <v>45642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6963-2021</t>
        </is>
      </c>
      <c r="B225" s="1" t="n">
        <v>44237</v>
      </c>
      <c r="C225" s="1" t="n">
        <v>45642</v>
      </c>
      <c r="D225" t="inlineStr">
        <is>
          <t>JÖNKÖPINGS LÄN</t>
        </is>
      </c>
      <c r="E225" t="inlineStr">
        <is>
          <t>GISLAVED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45642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7737-2021</t>
        </is>
      </c>
      <c r="B227" s="1" t="n">
        <v>44242</v>
      </c>
      <c r="C227" s="1" t="n">
        <v>45642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7924-2021</t>
        </is>
      </c>
      <c r="B228" s="1" t="n">
        <v>44243</v>
      </c>
      <c r="C228" s="1" t="n">
        <v>45642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8092-2021</t>
        </is>
      </c>
      <c r="B229" s="1" t="n">
        <v>44243</v>
      </c>
      <c r="C229" s="1" t="n">
        <v>45642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8087-2021</t>
        </is>
      </c>
      <c r="B230" s="1" t="n">
        <v>44243</v>
      </c>
      <c r="C230" s="1" t="n">
        <v>45642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8173-2021</t>
        </is>
      </c>
      <c r="B231" s="1" t="n">
        <v>44244</v>
      </c>
      <c r="C231" s="1" t="n">
        <v>45642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8470-2021</t>
        </is>
      </c>
      <c r="B232" s="1" t="n">
        <v>44245</v>
      </c>
      <c r="C232" s="1" t="n">
        <v>45642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9013-2021</t>
        </is>
      </c>
      <c r="B233" s="1" t="n">
        <v>44246</v>
      </c>
      <c r="C233" s="1" t="n">
        <v>45642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9409-2021</t>
        </is>
      </c>
      <c r="B234" s="1" t="n">
        <v>44250</v>
      </c>
      <c r="C234" s="1" t="n">
        <v>45642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9359-2021</t>
        </is>
      </c>
      <c r="B235" s="1" t="n">
        <v>44250</v>
      </c>
      <c r="C235" s="1" t="n">
        <v>45642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9407-2021</t>
        </is>
      </c>
      <c r="B236" s="1" t="n">
        <v>44250</v>
      </c>
      <c r="C236" s="1" t="n">
        <v>45642</v>
      </c>
      <c r="D236" t="inlineStr">
        <is>
          <t>JÖNKÖPINGS LÄN</t>
        </is>
      </c>
      <c r="E236" t="inlineStr">
        <is>
          <t>GISLAVED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11822-2021</t>
        </is>
      </c>
      <c r="B237" s="1" t="n">
        <v>44265</v>
      </c>
      <c r="C237" s="1" t="n">
        <v>45642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11849-2021</t>
        </is>
      </c>
      <c r="B238" s="1" t="n">
        <v>44265</v>
      </c>
      <c r="C238" s="1" t="n">
        <v>45642</v>
      </c>
      <c r="D238" t="inlineStr">
        <is>
          <t>JÖNKÖPINGS LÄN</t>
        </is>
      </c>
      <c r="E238" t="inlineStr">
        <is>
          <t>GISLAVED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12078-2021</t>
        </is>
      </c>
      <c r="B239" s="1" t="n">
        <v>44266</v>
      </c>
      <c r="C239" s="1" t="n">
        <v>45642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12181-2021</t>
        </is>
      </c>
      <c r="B240" s="1" t="n">
        <v>44266</v>
      </c>
      <c r="C240" s="1" t="n">
        <v>45642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12924-2021</t>
        </is>
      </c>
      <c r="B241" s="1" t="n">
        <v>44271</v>
      </c>
      <c r="C241" s="1" t="n">
        <v>45642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13251-2021</t>
        </is>
      </c>
      <c r="B242" s="1" t="n">
        <v>44272</v>
      </c>
      <c r="C242" s="1" t="n">
        <v>45642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13451-2021</t>
        </is>
      </c>
      <c r="B243" s="1" t="n">
        <v>44273</v>
      </c>
      <c r="C243" s="1" t="n">
        <v>45642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13452-2021</t>
        </is>
      </c>
      <c r="B244" s="1" t="n">
        <v>44273</v>
      </c>
      <c r="C244" s="1" t="n">
        <v>45642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13449-2021</t>
        </is>
      </c>
      <c r="B245" s="1" t="n">
        <v>44273</v>
      </c>
      <c r="C245" s="1" t="n">
        <v>45642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13455-2021</t>
        </is>
      </c>
      <c r="B246" s="1" t="n">
        <v>44273</v>
      </c>
      <c r="C246" s="1" t="n">
        <v>45642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13801-2021</t>
        </is>
      </c>
      <c r="B247" s="1" t="n">
        <v>44275</v>
      </c>
      <c r="C247" s="1" t="n">
        <v>45642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14100-2021</t>
        </is>
      </c>
      <c r="B248" s="1" t="n">
        <v>44278</v>
      </c>
      <c r="C248" s="1" t="n">
        <v>45642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15387-2021</t>
        </is>
      </c>
      <c r="B249" s="1" t="n">
        <v>44284</v>
      </c>
      <c r="C249" s="1" t="n">
        <v>45642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15388-2021</t>
        </is>
      </c>
      <c r="B250" s="1" t="n">
        <v>44284</v>
      </c>
      <c r="C250" s="1" t="n">
        <v>45642</v>
      </c>
      <c r="D250" t="inlineStr">
        <is>
          <t>JÖNKÖPINGS LÄN</t>
        </is>
      </c>
      <c r="E250" t="inlineStr">
        <is>
          <t>GISLAVED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15593-2021</t>
        </is>
      </c>
      <c r="B251" s="1" t="n">
        <v>44285</v>
      </c>
      <c r="C251" s="1" t="n">
        <v>45642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15978-2021</t>
        </is>
      </c>
      <c r="B252" s="1" t="n">
        <v>44287</v>
      </c>
      <c r="C252" s="1" t="n">
        <v>45642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16407-2021</t>
        </is>
      </c>
      <c r="B253" s="1" t="n">
        <v>44293</v>
      </c>
      <c r="C253" s="1" t="n">
        <v>45642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17083-2021</t>
        </is>
      </c>
      <c r="B254" s="1" t="n">
        <v>44297</v>
      </c>
      <c r="C254" s="1" t="n">
        <v>45642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17524-2021</t>
        </is>
      </c>
      <c r="B255" s="1" t="n">
        <v>44299</v>
      </c>
      <c r="C255" s="1" t="n">
        <v>45642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18131-2021</t>
        </is>
      </c>
      <c r="B256" s="1" t="n">
        <v>44302</v>
      </c>
      <c r="C256" s="1" t="n">
        <v>45642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</v>
      </c>
      <c r="C257" s="1" t="n">
        <v>45642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18301-2021</t>
        </is>
      </c>
      <c r="B258" s="1" t="n">
        <v>44305</v>
      </c>
      <c r="C258" s="1" t="n">
        <v>45642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19092-2021</t>
        </is>
      </c>
      <c r="B259" s="1" t="n">
        <v>44308</v>
      </c>
      <c r="C259" s="1" t="n">
        <v>45642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20724-2021</t>
        </is>
      </c>
      <c r="B260" s="1" t="n">
        <v>44316</v>
      </c>
      <c r="C260" s="1" t="n">
        <v>45642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20840-2021</t>
        </is>
      </c>
      <c r="B261" s="1" t="n">
        <v>44319</v>
      </c>
      <c r="C261" s="1" t="n">
        <v>45642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21700-2021</t>
        </is>
      </c>
      <c r="B262" s="1" t="n">
        <v>44322</v>
      </c>
      <c r="C262" s="1" t="n">
        <v>45642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22676-2021</t>
        </is>
      </c>
      <c r="B263" s="1" t="n">
        <v>44323</v>
      </c>
      <c r="C263" s="1" t="n">
        <v>45642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22828-2021</t>
        </is>
      </c>
      <c r="B264" s="1" t="n">
        <v>44328</v>
      </c>
      <c r="C264" s="1" t="n">
        <v>45642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23202-2021</t>
        </is>
      </c>
      <c r="B265" s="1" t="n">
        <v>44333</v>
      </c>
      <c r="C265" s="1" t="n">
        <v>45642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23203-2021</t>
        </is>
      </c>
      <c r="B266" s="1" t="n">
        <v>44333</v>
      </c>
      <c r="C266" s="1" t="n">
        <v>45642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24476-2021</t>
        </is>
      </c>
      <c r="B267" s="1" t="n">
        <v>44337</v>
      </c>
      <c r="C267" s="1" t="n">
        <v>45642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24656-2021</t>
        </is>
      </c>
      <c r="B268" s="1" t="n">
        <v>44340</v>
      </c>
      <c r="C268" s="1" t="n">
        <v>45642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25599-2021</t>
        </is>
      </c>
      <c r="B269" s="1" t="n">
        <v>44343</v>
      </c>
      <c r="C269" s="1" t="n">
        <v>45642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25893-2021</t>
        </is>
      </c>
      <c r="B270" s="1" t="n">
        <v>44344</v>
      </c>
      <c r="C270" s="1" t="n">
        <v>45642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27583-2021</t>
        </is>
      </c>
      <c r="B271" s="1" t="n">
        <v>44353</v>
      </c>
      <c r="C271" s="1" t="n">
        <v>45642</v>
      </c>
      <c r="D271" t="inlineStr">
        <is>
          <t>JÖNKÖPINGS LÄN</t>
        </is>
      </c>
      <c r="E271" t="inlineStr">
        <is>
          <t>GISLAVED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27581-2021</t>
        </is>
      </c>
      <c r="B272" s="1" t="n">
        <v>44353</v>
      </c>
      <c r="C272" s="1" t="n">
        <v>45642</v>
      </c>
      <c r="D272" t="inlineStr">
        <is>
          <t>JÖNKÖPINGS LÄN</t>
        </is>
      </c>
      <c r="E272" t="inlineStr">
        <is>
          <t>GISLAVED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27584-2021</t>
        </is>
      </c>
      <c r="B273" s="1" t="n">
        <v>44353</v>
      </c>
      <c r="C273" s="1" t="n">
        <v>45642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27582-2021</t>
        </is>
      </c>
      <c r="B274" s="1" t="n">
        <v>44353</v>
      </c>
      <c r="C274" s="1" t="n">
        <v>45642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27624-2021</t>
        </is>
      </c>
      <c r="B275" s="1" t="n">
        <v>44354</v>
      </c>
      <c r="C275" s="1" t="n">
        <v>45642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28073-2021</t>
        </is>
      </c>
      <c r="B276" s="1" t="n">
        <v>44355</v>
      </c>
      <c r="C276" s="1" t="n">
        <v>45642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45642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28927-2021</t>
        </is>
      </c>
      <c r="B278" s="1" t="n">
        <v>44358</v>
      </c>
      <c r="C278" s="1" t="n">
        <v>45642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28931-2021</t>
        </is>
      </c>
      <c r="B279" s="1" t="n">
        <v>44358</v>
      </c>
      <c r="C279" s="1" t="n">
        <v>45642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28922-2021</t>
        </is>
      </c>
      <c r="B280" s="1" t="n">
        <v>44358</v>
      </c>
      <c r="C280" s="1" t="n">
        <v>45642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28948-2021</t>
        </is>
      </c>
      <c r="B281" s="1" t="n">
        <v>44358</v>
      </c>
      <c r="C281" s="1" t="n">
        <v>45642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28921-2021</t>
        </is>
      </c>
      <c r="B282" s="1" t="n">
        <v>44358</v>
      </c>
      <c r="C282" s="1" t="n">
        <v>45642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29063-2021</t>
        </is>
      </c>
      <c r="B283" s="1" t="n">
        <v>44358</v>
      </c>
      <c r="C283" s="1" t="n">
        <v>45642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29847-2021</t>
        </is>
      </c>
      <c r="B284" s="1" t="n">
        <v>44362</v>
      </c>
      <c r="C284" s="1" t="n">
        <v>45642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30781-2021</t>
        </is>
      </c>
      <c r="B285" s="1" t="n">
        <v>44365</v>
      </c>
      <c r="C285" s="1" t="n">
        <v>45642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30894-2021</t>
        </is>
      </c>
      <c r="B286" s="1" t="n">
        <v>44365</v>
      </c>
      <c r="C286" s="1" t="n">
        <v>45642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30880-2021</t>
        </is>
      </c>
      <c r="B287" s="1" t="n">
        <v>44365</v>
      </c>
      <c r="C287" s="1" t="n">
        <v>45642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32338-2021</t>
        </is>
      </c>
      <c r="B288" s="1" t="n">
        <v>44371</v>
      </c>
      <c r="C288" s="1" t="n">
        <v>45642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32441-2021</t>
        </is>
      </c>
      <c r="B289" s="1" t="n">
        <v>44371</v>
      </c>
      <c r="C289" s="1" t="n">
        <v>45642</v>
      </c>
      <c r="D289" t="inlineStr">
        <is>
          <t>JÖNKÖPINGS LÄN</t>
        </is>
      </c>
      <c r="E289" t="inlineStr">
        <is>
          <t>GISLAVED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33026-2021</t>
        </is>
      </c>
      <c r="B290" s="1" t="n">
        <v>44376</v>
      </c>
      <c r="C290" s="1" t="n">
        <v>45642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33665-2021</t>
        </is>
      </c>
      <c r="B291" s="1" t="n">
        <v>44378</v>
      </c>
      <c r="C291" s="1" t="n">
        <v>45642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33662-2021</t>
        </is>
      </c>
      <c r="B292" s="1" t="n">
        <v>44378</v>
      </c>
      <c r="C292" s="1" t="n">
        <v>45642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33616-2021</t>
        </is>
      </c>
      <c r="B293" s="1" t="n">
        <v>44378</v>
      </c>
      <c r="C293" s="1" t="n">
        <v>45642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33637-2021</t>
        </is>
      </c>
      <c r="B294" s="1" t="n">
        <v>44378</v>
      </c>
      <c r="C294" s="1" t="n">
        <v>45642</v>
      </c>
      <c r="D294" t="inlineStr">
        <is>
          <t>JÖNKÖPINGS LÄN</t>
        </is>
      </c>
      <c r="E294" t="inlineStr">
        <is>
          <t>GISLAVED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33660-2021</t>
        </is>
      </c>
      <c r="B295" s="1" t="n">
        <v>44378</v>
      </c>
      <c r="C295" s="1" t="n">
        <v>45642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34225-2021</t>
        </is>
      </c>
      <c r="B296" s="1" t="n">
        <v>44379</v>
      </c>
      <c r="C296" s="1" t="n">
        <v>45642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35840-2021</t>
        </is>
      </c>
      <c r="B297" s="1" t="n">
        <v>44386</v>
      </c>
      <c r="C297" s="1" t="n">
        <v>45642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35839-2021</t>
        </is>
      </c>
      <c r="B298" s="1" t="n">
        <v>44386</v>
      </c>
      <c r="C298" s="1" t="n">
        <v>45642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36068-2021</t>
        </is>
      </c>
      <c r="B299" s="1" t="n">
        <v>44389</v>
      </c>
      <c r="C299" s="1" t="n">
        <v>45642</v>
      </c>
      <c r="D299" t="inlineStr">
        <is>
          <t>JÖNKÖPINGS LÄN</t>
        </is>
      </c>
      <c r="E299" t="inlineStr">
        <is>
          <t>GISLAVED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36145-2021</t>
        </is>
      </c>
      <c r="B300" s="1" t="n">
        <v>44389</v>
      </c>
      <c r="C300" s="1" t="n">
        <v>45642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36744-2021</t>
        </is>
      </c>
      <c r="B301" s="1" t="n">
        <v>44392</v>
      </c>
      <c r="C301" s="1" t="n">
        <v>45642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37167-2021</t>
        </is>
      </c>
      <c r="B302" s="1" t="n">
        <v>44396</v>
      </c>
      <c r="C302" s="1" t="n">
        <v>45642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37350-2021</t>
        </is>
      </c>
      <c r="B303" s="1" t="n">
        <v>44397</v>
      </c>
      <c r="C303" s="1" t="n">
        <v>45642</v>
      </c>
      <c r="D303" t="inlineStr">
        <is>
          <t>JÖNKÖPINGS LÄN</t>
        </is>
      </c>
      <c r="E303" t="inlineStr">
        <is>
          <t>GISLAVED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37671-2021</t>
        </is>
      </c>
      <c r="B304" s="1" t="n">
        <v>44400</v>
      </c>
      <c r="C304" s="1" t="n">
        <v>45642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38342-2021</t>
        </is>
      </c>
      <c r="B305" s="1" t="n">
        <v>44406</v>
      </c>
      <c r="C305" s="1" t="n">
        <v>45642</v>
      </c>
      <c r="D305" t="inlineStr">
        <is>
          <t>JÖNKÖPINGS LÄN</t>
        </is>
      </c>
      <c r="E305" t="inlineStr">
        <is>
          <t>GISLAVED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38351-2021</t>
        </is>
      </c>
      <c r="B306" s="1" t="n">
        <v>44406</v>
      </c>
      <c r="C306" s="1" t="n">
        <v>45642</v>
      </c>
      <c r="D306" t="inlineStr">
        <is>
          <t>JÖNKÖPINGS LÄN</t>
        </is>
      </c>
      <c r="E306" t="inlineStr">
        <is>
          <t>GISLAVED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39389-2021</t>
        </is>
      </c>
      <c r="B307" s="1" t="n">
        <v>44414</v>
      </c>
      <c r="C307" s="1" t="n">
        <v>45642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39421-2021</t>
        </is>
      </c>
      <c r="B308" s="1" t="n">
        <v>44414</v>
      </c>
      <c r="C308" s="1" t="n">
        <v>45642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39379-2021</t>
        </is>
      </c>
      <c r="B309" s="1" t="n">
        <v>44414</v>
      </c>
      <c r="C309" s="1" t="n">
        <v>45642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39391-2021</t>
        </is>
      </c>
      <c r="B310" s="1" t="n">
        <v>44414</v>
      </c>
      <c r="C310" s="1" t="n">
        <v>45642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39836-2021</t>
        </is>
      </c>
      <c r="B311" s="1" t="n">
        <v>44417</v>
      </c>
      <c r="C311" s="1" t="n">
        <v>45642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41167-2021</t>
        </is>
      </c>
      <c r="B312" s="1" t="n">
        <v>44421</v>
      </c>
      <c r="C312" s="1" t="n">
        <v>45642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41172-2021</t>
        </is>
      </c>
      <c r="B313" s="1" t="n">
        <v>44421</v>
      </c>
      <c r="C313" s="1" t="n">
        <v>45642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41712-2021</t>
        </is>
      </c>
      <c r="B314" s="1" t="n">
        <v>44425</v>
      </c>
      <c r="C314" s="1" t="n">
        <v>45642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42882-2021</t>
        </is>
      </c>
      <c r="B315" s="1" t="n">
        <v>44428</v>
      </c>
      <c r="C315" s="1" t="n">
        <v>45642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43408-2021</t>
        </is>
      </c>
      <c r="B316" s="1" t="n">
        <v>44432</v>
      </c>
      <c r="C316" s="1" t="n">
        <v>45642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43470-2021</t>
        </is>
      </c>
      <c r="B317" s="1" t="n">
        <v>44432</v>
      </c>
      <c r="C317" s="1" t="n">
        <v>45642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43622-2021</t>
        </is>
      </c>
      <c r="B318" s="1" t="n">
        <v>44433</v>
      </c>
      <c r="C318" s="1" t="n">
        <v>45642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44542-2021</t>
        </is>
      </c>
      <c r="B319" s="1" t="n">
        <v>44435</v>
      </c>
      <c r="C319" s="1" t="n">
        <v>45642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45891-2021</t>
        </is>
      </c>
      <c r="B320" s="1" t="n">
        <v>44441</v>
      </c>
      <c r="C320" s="1" t="n">
        <v>45642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45898-2021</t>
        </is>
      </c>
      <c r="B321" s="1" t="n">
        <v>44441</v>
      </c>
      <c r="C321" s="1" t="n">
        <v>45642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47128-2021</t>
        </is>
      </c>
      <c r="B322" s="1" t="n">
        <v>44446</v>
      </c>
      <c r="C322" s="1" t="n">
        <v>45642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47243-2021</t>
        </is>
      </c>
      <c r="B323" s="1" t="n">
        <v>44447</v>
      </c>
      <c r="C323" s="1" t="n">
        <v>45642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47248-2021</t>
        </is>
      </c>
      <c r="B324" s="1" t="n">
        <v>44447</v>
      </c>
      <c r="C324" s="1" t="n">
        <v>45642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48202-2021</t>
        </is>
      </c>
      <c r="B325" s="1" t="n">
        <v>44449</v>
      </c>
      <c r="C325" s="1" t="n">
        <v>45642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49181-2021</t>
        </is>
      </c>
      <c r="B326" s="1" t="n">
        <v>44454</v>
      </c>
      <c r="C326" s="1" t="n">
        <v>45642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49182-2021</t>
        </is>
      </c>
      <c r="B327" s="1" t="n">
        <v>44454</v>
      </c>
      <c r="C327" s="1" t="n">
        <v>45642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49590-2021</t>
        </is>
      </c>
      <c r="B328" s="1" t="n">
        <v>44455</v>
      </c>
      <c r="C328" s="1" t="n">
        <v>45642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49593-2021</t>
        </is>
      </c>
      <c r="B329" s="1" t="n">
        <v>44455</v>
      </c>
      <c r="C329" s="1" t="n">
        <v>45642</v>
      </c>
      <c r="D329" t="inlineStr">
        <is>
          <t>JÖNKÖPINGS LÄN</t>
        </is>
      </c>
      <c r="E329" t="inlineStr">
        <is>
          <t>GISLAVED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49681-2021</t>
        </is>
      </c>
      <c r="B330" s="1" t="n">
        <v>44455</v>
      </c>
      <c r="C330" s="1" t="n">
        <v>45642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49682-2021</t>
        </is>
      </c>
      <c r="B331" s="1" t="n">
        <v>44455</v>
      </c>
      <c r="C331" s="1" t="n">
        <v>45642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49956-2021</t>
        </is>
      </c>
      <c r="B332" s="1" t="n">
        <v>44456</v>
      </c>
      <c r="C332" s="1" t="n">
        <v>45642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49965-2021</t>
        </is>
      </c>
      <c r="B333" s="1" t="n">
        <v>44456</v>
      </c>
      <c r="C333" s="1" t="n">
        <v>45642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45642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50663-2021</t>
        </is>
      </c>
      <c r="B335" s="1" t="n">
        <v>44459</v>
      </c>
      <c r="C335" s="1" t="n">
        <v>45642</v>
      </c>
      <c r="D335" t="inlineStr">
        <is>
          <t>JÖNKÖPINGS LÄN</t>
        </is>
      </c>
      <c r="E335" t="inlineStr">
        <is>
          <t>GISLAVED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51479-2021</t>
        </is>
      </c>
      <c r="B336" s="1" t="n">
        <v>44462</v>
      </c>
      <c r="C336" s="1" t="n">
        <v>45642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52183-2021</t>
        </is>
      </c>
      <c r="B337" s="1" t="n">
        <v>44463</v>
      </c>
      <c r="C337" s="1" t="n">
        <v>45642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52605-2021</t>
        </is>
      </c>
      <c r="B338" s="1" t="n">
        <v>44465</v>
      </c>
      <c r="C338" s="1" t="n">
        <v>45642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53087-2021</t>
        </is>
      </c>
      <c r="B339" s="1" t="n">
        <v>44467</v>
      </c>
      <c r="C339" s="1" t="n">
        <v>45642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53086-2021</t>
        </is>
      </c>
      <c r="B340" s="1" t="n">
        <v>44467</v>
      </c>
      <c r="C340" s="1" t="n">
        <v>45642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</v>
      </c>
      <c r="C341" s="1" t="n">
        <v>45642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53844-2021</t>
        </is>
      </c>
      <c r="B342" s="1" t="n">
        <v>44469</v>
      </c>
      <c r="C342" s="1" t="n">
        <v>45642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54495-2021</t>
        </is>
      </c>
      <c r="B343" s="1" t="n">
        <v>44473</v>
      </c>
      <c r="C343" s="1" t="n">
        <v>45642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54492-2021</t>
        </is>
      </c>
      <c r="B344" s="1" t="n">
        <v>44473</v>
      </c>
      <c r="C344" s="1" t="n">
        <v>45642</v>
      </c>
      <c r="D344" t="inlineStr">
        <is>
          <t>JÖNKÖPINGS LÄN</t>
        </is>
      </c>
      <c r="E344" t="inlineStr">
        <is>
          <t>GISLAVED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55128-2021</t>
        </is>
      </c>
      <c r="B345" s="1" t="n">
        <v>44474</v>
      </c>
      <c r="C345" s="1" t="n">
        <v>45642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56926-2021</t>
        </is>
      </c>
      <c r="B346" s="1" t="n">
        <v>44482</v>
      </c>
      <c r="C346" s="1" t="n">
        <v>45642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45642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45642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45642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58950-2021</t>
        </is>
      </c>
      <c r="B350" s="1" t="n">
        <v>44489</v>
      </c>
      <c r="C350" s="1" t="n">
        <v>45642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58952-2021</t>
        </is>
      </c>
      <c r="B351" s="1" t="n">
        <v>44489</v>
      </c>
      <c r="C351" s="1" t="n">
        <v>45642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60234-2021</t>
        </is>
      </c>
      <c r="B352" s="1" t="n">
        <v>44495</v>
      </c>
      <c r="C352" s="1" t="n">
        <v>45642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60303-2021</t>
        </is>
      </c>
      <c r="B353" s="1" t="n">
        <v>44495</v>
      </c>
      <c r="C353" s="1" t="n">
        <v>45642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</v>
      </c>
      <c r="C354" s="1" t="n">
        <v>45642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60966-2021</t>
        </is>
      </c>
      <c r="B355" s="1" t="n">
        <v>44496</v>
      </c>
      <c r="C355" s="1" t="n">
        <v>45642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</v>
      </c>
      <c r="C356" s="1" t="n">
        <v>45642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45642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61922-2021</t>
        </is>
      </c>
      <c r="B358" s="1" t="n">
        <v>44501</v>
      </c>
      <c r="C358" s="1" t="n">
        <v>45642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61916-2021</t>
        </is>
      </c>
      <c r="B359" s="1" t="n">
        <v>44501</v>
      </c>
      <c r="C359" s="1" t="n">
        <v>45642</v>
      </c>
      <c r="D359" t="inlineStr">
        <is>
          <t>JÖNKÖPINGS LÄN</t>
        </is>
      </c>
      <c r="E359" t="inlineStr">
        <is>
          <t>GISLAVED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61914-2021</t>
        </is>
      </c>
      <c r="B360" s="1" t="n">
        <v>44501</v>
      </c>
      <c r="C360" s="1" t="n">
        <v>45642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61891-2021</t>
        </is>
      </c>
      <c r="B361" s="1" t="n">
        <v>44502</v>
      </c>
      <c r="C361" s="1" t="n">
        <v>45642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63448-2021</t>
        </is>
      </c>
      <c r="B362" s="1" t="n">
        <v>44507</v>
      </c>
      <c r="C362" s="1" t="n">
        <v>45642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64014-2021</t>
        </is>
      </c>
      <c r="B363" s="1" t="n">
        <v>44508</v>
      </c>
      <c r="C363" s="1" t="n">
        <v>45642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45642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66544-2021</t>
        </is>
      </c>
      <c r="B365" s="1" t="n">
        <v>44519</v>
      </c>
      <c r="C365" s="1" t="n">
        <v>45642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66973-2021</t>
        </is>
      </c>
      <c r="B366" s="1" t="n">
        <v>44522</v>
      </c>
      <c r="C366" s="1" t="n">
        <v>45642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67228-2021</t>
        </is>
      </c>
      <c r="B367" s="1" t="n">
        <v>44523</v>
      </c>
      <c r="C367" s="1" t="n">
        <v>45642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67213-2021</t>
        </is>
      </c>
      <c r="B368" s="1" t="n">
        <v>44523</v>
      </c>
      <c r="C368" s="1" t="n">
        <v>45642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67211-2021</t>
        </is>
      </c>
      <c r="B369" s="1" t="n">
        <v>44523</v>
      </c>
      <c r="C369" s="1" t="n">
        <v>45642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68616-2021</t>
        </is>
      </c>
      <c r="B370" s="1" t="n">
        <v>44529</v>
      </c>
      <c r="C370" s="1" t="n">
        <v>45642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68806-2021</t>
        </is>
      </c>
      <c r="B371" s="1" t="n">
        <v>44530</v>
      </c>
      <c r="C371" s="1" t="n">
        <v>45642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72035-2021</t>
        </is>
      </c>
      <c r="B372" s="1" t="n">
        <v>44544</v>
      </c>
      <c r="C372" s="1" t="n">
        <v>45642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72078-2021</t>
        </is>
      </c>
      <c r="B373" s="1" t="n">
        <v>44544</v>
      </c>
      <c r="C373" s="1" t="n">
        <v>45642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72791-2021</t>
        </is>
      </c>
      <c r="B374" s="1" t="n">
        <v>44547</v>
      </c>
      <c r="C374" s="1" t="n">
        <v>45642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73154-2021</t>
        </is>
      </c>
      <c r="B375" s="1" t="n">
        <v>44550</v>
      </c>
      <c r="C375" s="1" t="n">
        <v>45642</v>
      </c>
      <c r="D375" t="inlineStr">
        <is>
          <t>JÖNKÖPINGS LÄN</t>
        </is>
      </c>
      <c r="E375" t="inlineStr">
        <is>
          <t>GISLAVED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73153-2021</t>
        </is>
      </c>
      <c r="B376" s="1" t="n">
        <v>44550</v>
      </c>
      <c r="C376" s="1" t="n">
        <v>45642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73547-2021</t>
        </is>
      </c>
      <c r="B377" s="1" t="n">
        <v>44551</v>
      </c>
      <c r="C377" s="1" t="n">
        <v>45642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73551-2021</t>
        </is>
      </c>
      <c r="B378" s="1" t="n">
        <v>44551</v>
      </c>
      <c r="C378" s="1" t="n">
        <v>45642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73548-2021</t>
        </is>
      </c>
      <c r="B379" s="1" t="n">
        <v>44551</v>
      </c>
      <c r="C379" s="1" t="n">
        <v>45642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73545-2021</t>
        </is>
      </c>
      <c r="B380" s="1" t="n">
        <v>44551</v>
      </c>
      <c r="C380" s="1" t="n">
        <v>45642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73550-2021</t>
        </is>
      </c>
      <c r="B381" s="1" t="n">
        <v>44551</v>
      </c>
      <c r="C381" s="1" t="n">
        <v>45642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</v>
      </c>
      <c r="C382" s="1" t="n">
        <v>45642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74260-2021</t>
        </is>
      </c>
      <c r="B383" s="1" t="n">
        <v>44558</v>
      </c>
      <c r="C383" s="1" t="n">
        <v>45642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74247-2021</t>
        </is>
      </c>
      <c r="B384" s="1" t="n">
        <v>44558</v>
      </c>
      <c r="C384" s="1" t="n">
        <v>45642</v>
      </c>
      <c r="D384" t="inlineStr">
        <is>
          <t>JÖNKÖPINGS LÄN</t>
        </is>
      </c>
      <c r="E384" t="inlineStr">
        <is>
          <t>GISLAVED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74259-2021</t>
        </is>
      </c>
      <c r="B385" s="1" t="n">
        <v>44558</v>
      </c>
      <c r="C385" s="1" t="n">
        <v>45642</v>
      </c>
      <c r="D385" t="inlineStr">
        <is>
          <t>JÖNKÖPINGS LÄN</t>
        </is>
      </c>
      <c r="E385" t="inlineStr">
        <is>
          <t>GISLAVED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45642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12-2022</t>
        </is>
      </c>
      <c r="B387" s="1" t="n">
        <v>44563</v>
      </c>
      <c r="C387" s="1" t="n">
        <v>45642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1066-2022</t>
        </is>
      </c>
      <c r="B388" s="1" t="n">
        <v>44571</v>
      </c>
      <c r="C388" s="1" t="n">
        <v>45642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2011-2022</t>
        </is>
      </c>
      <c r="B389" s="1" t="n">
        <v>44575</v>
      </c>
      <c r="C389" s="1" t="n">
        <v>45642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2016-2022</t>
        </is>
      </c>
      <c r="B390" s="1" t="n">
        <v>44575</v>
      </c>
      <c r="C390" s="1" t="n">
        <v>45642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2155-2022</t>
        </is>
      </c>
      <c r="B391" s="1" t="n">
        <v>44578</v>
      </c>
      <c r="C391" s="1" t="n">
        <v>45642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2157-2022</t>
        </is>
      </c>
      <c r="B392" s="1" t="n">
        <v>44578</v>
      </c>
      <c r="C392" s="1" t="n">
        <v>45642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2151-2022</t>
        </is>
      </c>
      <c r="B393" s="1" t="n">
        <v>44578</v>
      </c>
      <c r="C393" s="1" t="n">
        <v>45642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</v>
      </c>
      <c r="C394" s="1" t="n">
        <v>45642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2832-2022</t>
        </is>
      </c>
      <c r="B395" s="1" t="n">
        <v>44581</v>
      </c>
      <c r="C395" s="1" t="n">
        <v>45642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3517-2022</t>
        </is>
      </c>
      <c r="B396" s="1" t="n">
        <v>44585</v>
      </c>
      <c r="C396" s="1" t="n">
        <v>45642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4282-2022</t>
        </is>
      </c>
      <c r="B397" s="1" t="n">
        <v>44588</v>
      </c>
      <c r="C397" s="1" t="n">
        <v>45642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4279-2022</t>
        </is>
      </c>
      <c r="B398" s="1" t="n">
        <v>44588</v>
      </c>
      <c r="C398" s="1" t="n">
        <v>45642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5288-2022</t>
        </is>
      </c>
      <c r="B399" s="1" t="n">
        <v>44594</v>
      </c>
      <c r="C399" s="1" t="n">
        <v>45642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5292-2022</t>
        </is>
      </c>
      <c r="B400" s="1" t="n">
        <v>44594</v>
      </c>
      <c r="C400" s="1" t="n">
        <v>45642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5298-2022</t>
        </is>
      </c>
      <c r="B401" s="1" t="n">
        <v>44594</v>
      </c>
      <c r="C401" s="1" t="n">
        <v>45642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7346-2022</t>
        </is>
      </c>
      <c r="B402" s="1" t="n">
        <v>44606</v>
      </c>
      <c r="C402" s="1" t="n">
        <v>45642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7328-2022</t>
        </is>
      </c>
      <c r="B403" s="1" t="n">
        <v>44606</v>
      </c>
      <c r="C403" s="1" t="n">
        <v>45642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7338-2022</t>
        </is>
      </c>
      <c r="B404" s="1" t="n">
        <v>44606</v>
      </c>
      <c r="C404" s="1" t="n">
        <v>45642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7342-2022</t>
        </is>
      </c>
      <c r="B405" s="1" t="n">
        <v>44606</v>
      </c>
      <c r="C405" s="1" t="n">
        <v>45642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7344-2022</t>
        </is>
      </c>
      <c r="B406" s="1" t="n">
        <v>44606</v>
      </c>
      <c r="C406" s="1" t="n">
        <v>45642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45642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7627-2022</t>
        </is>
      </c>
      <c r="B408" s="1" t="n">
        <v>44607</v>
      </c>
      <c r="C408" s="1" t="n">
        <v>45642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8815-2022</t>
        </is>
      </c>
      <c r="B409" s="1" t="n">
        <v>44614</v>
      </c>
      <c r="C409" s="1" t="n">
        <v>45642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8791-2022</t>
        </is>
      </c>
      <c r="B410" s="1" t="n">
        <v>44614</v>
      </c>
      <c r="C410" s="1" t="n">
        <v>45642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8800-2022</t>
        </is>
      </c>
      <c r="B411" s="1" t="n">
        <v>44614</v>
      </c>
      <c r="C411" s="1" t="n">
        <v>45642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8809-2022</t>
        </is>
      </c>
      <c r="B412" s="1" t="n">
        <v>44614</v>
      </c>
      <c r="C412" s="1" t="n">
        <v>45642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9071-2022</t>
        </is>
      </c>
      <c r="B413" s="1" t="n">
        <v>44615</v>
      </c>
      <c r="C413" s="1" t="n">
        <v>45642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10057-2022</t>
        </is>
      </c>
      <c r="B414" s="1" t="n">
        <v>44621</v>
      </c>
      <c r="C414" s="1" t="n">
        <v>45642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10673-2022</t>
        </is>
      </c>
      <c r="B415" s="1" t="n">
        <v>44624</v>
      </c>
      <c r="C415" s="1" t="n">
        <v>45642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10719-2022</t>
        </is>
      </c>
      <c r="B416" s="1" t="n">
        <v>44626</v>
      </c>
      <c r="C416" s="1" t="n">
        <v>45642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12502-2022</t>
        </is>
      </c>
      <c r="B417" s="1" t="n">
        <v>44638</v>
      </c>
      <c r="C417" s="1" t="n">
        <v>45642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13670-2022</t>
        </is>
      </c>
      <c r="B418" s="1" t="n">
        <v>44648</v>
      </c>
      <c r="C418" s="1" t="n">
        <v>45642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14153-2022</t>
        </is>
      </c>
      <c r="B419" s="1" t="n">
        <v>44651</v>
      </c>
      <c r="C419" s="1" t="n">
        <v>45642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15048-2022</t>
        </is>
      </c>
      <c r="B420" s="1" t="n">
        <v>44657</v>
      </c>
      <c r="C420" s="1" t="n">
        <v>45642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15462-2022</t>
        </is>
      </c>
      <c r="B421" s="1" t="n">
        <v>44662</v>
      </c>
      <c r="C421" s="1" t="n">
        <v>45642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15463-2022</t>
        </is>
      </c>
      <c r="B422" s="1" t="n">
        <v>44662</v>
      </c>
      <c r="C422" s="1" t="n">
        <v>45642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19114-2022</t>
        </is>
      </c>
      <c r="B423" s="1" t="n">
        <v>44691</v>
      </c>
      <c r="C423" s="1" t="n">
        <v>45642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19774-2022</t>
        </is>
      </c>
      <c r="B424" s="1" t="n">
        <v>44694</v>
      </c>
      <c r="C424" s="1" t="n">
        <v>45642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19780-2022</t>
        </is>
      </c>
      <c r="B425" s="1" t="n">
        <v>44694</v>
      </c>
      <c r="C425" s="1" t="n">
        <v>45642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19906-2022</t>
        </is>
      </c>
      <c r="B426" s="1" t="n">
        <v>44697</v>
      </c>
      <c r="C426" s="1" t="n">
        <v>45642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20380-2022</t>
        </is>
      </c>
      <c r="B427" s="1" t="n">
        <v>44699</v>
      </c>
      <c r="C427" s="1" t="n">
        <v>45642</v>
      </c>
      <c r="D427" t="inlineStr">
        <is>
          <t>JÖNKÖPINGS LÄN</t>
        </is>
      </c>
      <c r="E427" t="inlineStr">
        <is>
          <t>GISLAVED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20609-2022</t>
        </is>
      </c>
      <c r="B428" s="1" t="n">
        <v>44700</v>
      </c>
      <c r="C428" s="1" t="n">
        <v>45642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21110-2022</t>
        </is>
      </c>
      <c r="B429" s="1" t="n">
        <v>44704</v>
      </c>
      <c r="C429" s="1" t="n">
        <v>45642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21904-2022</t>
        </is>
      </c>
      <c r="B430" s="1" t="n">
        <v>44711</v>
      </c>
      <c r="C430" s="1" t="n">
        <v>45642</v>
      </c>
      <c r="D430" t="inlineStr">
        <is>
          <t>JÖNKÖPINGS LÄN</t>
        </is>
      </c>
      <c r="E430" t="inlineStr">
        <is>
          <t>GISLAVED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22111-2022</t>
        </is>
      </c>
      <c r="B431" s="1" t="n">
        <v>44712</v>
      </c>
      <c r="C431" s="1" t="n">
        <v>45642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45642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22168-2022</t>
        </is>
      </c>
      <c r="B433" s="1" t="n">
        <v>44712</v>
      </c>
      <c r="C433" s="1" t="n">
        <v>45642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22176-2022</t>
        </is>
      </c>
      <c r="B434" s="1" t="n">
        <v>44712</v>
      </c>
      <c r="C434" s="1" t="n">
        <v>45642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22792-2022</t>
        </is>
      </c>
      <c r="B435" s="1" t="n">
        <v>44715</v>
      </c>
      <c r="C435" s="1" t="n">
        <v>45642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23598-2022</t>
        </is>
      </c>
      <c r="B436" s="1" t="n">
        <v>44721</v>
      </c>
      <c r="C436" s="1" t="n">
        <v>45642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24134-2022</t>
        </is>
      </c>
      <c r="B437" s="1" t="n">
        <v>44725</v>
      </c>
      <c r="C437" s="1" t="n">
        <v>45642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25064-2022</t>
        </is>
      </c>
      <c r="B438" s="1" t="n">
        <v>44729</v>
      </c>
      <c r="C438" s="1" t="n">
        <v>45642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25536-2022</t>
        </is>
      </c>
      <c r="B439" s="1" t="n">
        <v>44732</v>
      </c>
      <c r="C439" s="1" t="n">
        <v>45642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26256-2022</t>
        </is>
      </c>
      <c r="B440" s="1" t="n">
        <v>44735</v>
      </c>
      <c r="C440" s="1" t="n">
        <v>45642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</v>
      </c>
      <c r="C441" s="1" t="n">
        <v>45642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26307-2022</t>
        </is>
      </c>
      <c r="B442" s="1" t="n">
        <v>44735</v>
      </c>
      <c r="C442" s="1" t="n">
        <v>45642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26563-2022</t>
        </is>
      </c>
      <c r="B443" s="1" t="n">
        <v>44739</v>
      </c>
      <c r="C443" s="1" t="n">
        <v>45642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26574-2022</t>
        </is>
      </c>
      <c r="B444" s="1" t="n">
        <v>44739</v>
      </c>
      <c r="C444" s="1" t="n">
        <v>45642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</v>
      </c>
      <c r="C445" s="1" t="n">
        <v>45642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26630-2022</t>
        </is>
      </c>
      <c r="B446" s="1" t="n">
        <v>44739</v>
      </c>
      <c r="C446" s="1" t="n">
        <v>45642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26642-2022</t>
        </is>
      </c>
      <c r="B447" s="1" t="n">
        <v>44739</v>
      </c>
      <c r="C447" s="1" t="n">
        <v>45642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26639-2022</t>
        </is>
      </c>
      <c r="B448" s="1" t="n">
        <v>44739</v>
      </c>
      <c r="C448" s="1" t="n">
        <v>45642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28575-2022</t>
        </is>
      </c>
      <c r="B449" s="1" t="n">
        <v>44748</v>
      </c>
      <c r="C449" s="1" t="n">
        <v>45642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28582-2022</t>
        </is>
      </c>
      <c r="B450" s="1" t="n">
        <v>44748</v>
      </c>
      <c r="C450" s="1" t="n">
        <v>45642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28563-2022</t>
        </is>
      </c>
      <c r="B451" s="1" t="n">
        <v>44748</v>
      </c>
      <c r="C451" s="1" t="n">
        <v>45642</v>
      </c>
      <c r="D451" t="inlineStr">
        <is>
          <t>JÖNKÖPINGS LÄN</t>
        </is>
      </c>
      <c r="E451" t="inlineStr">
        <is>
          <t>GISLAVED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28580-2022</t>
        </is>
      </c>
      <c r="B452" s="1" t="n">
        <v>44748</v>
      </c>
      <c r="C452" s="1" t="n">
        <v>45642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28746-2022</t>
        </is>
      </c>
      <c r="B453" s="1" t="n">
        <v>44749</v>
      </c>
      <c r="C453" s="1" t="n">
        <v>45642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28751-2022</t>
        </is>
      </c>
      <c r="B454" s="1" t="n">
        <v>44749</v>
      </c>
      <c r="C454" s="1" t="n">
        <v>45642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29344-2022</t>
        </is>
      </c>
      <c r="B455" s="1" t="n">
        <v>44753</v>
      </c>
      <c r="C455" s="1" t="n">
        <v>45642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29343-2022</t>
        </is>
      </c>
      <c r="B456" s="1" t="n">
        <v>44753</v>
      </c>
      <c r="C456" s="1" t="n">
        <v>45642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30193-2022</t>
        </is>
      </c>
      <c r="B457" s="1" t="n">
        <v>44757</v>
      </c>
      <c r="C457" s="1" t="n">
        <v>45642</v>
      </c>
      <c r="D457" t="inlineStr">
        <is>
          <t>JÖNKÖPINGS LÄN</t>
        </is>
      </c>
      <c r="E457" t="inlineStr">
        <is>
          <t>GISLAVED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30847-2022</t>
        </is>
      </c>
      <c r="B458" s="1" t="n">
        <v>44767</v>
      </c>
      <c r="C458" s="1" t="n">
        <v>45642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31265-2022</t>
        </is>
      </c>
      <c r="B459" s="1" t="n">
        <v>44771</v>
      </c>
      <c r="C459" s="1" t="n">
        <v>45642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31675-2022</t>
        </is>
      </c>
      <c r="B460" s="1" t="n">
        <v>44776</v>
      </c>
      <c r="C460" s="1" t="n">
        <v>45642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31690-2022</t>
        </is>
      </c>
      <c r="B461" s="1" t="n">
        <v>44776</v>
      </c>
      <c r="C461" s="1" t="n">
        <v>45642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34067-2022</t>
        </is>
      </c>
      <c r="B462" s="1" t="n">
        <v>44791</v>
      </c>
      <c r="C462" s="1" t="n">
        <v>45642</v>
      </c>
      <c r="D462" t="inlineStr">
        <is>
          <t>JÖNKÖPINGS LÄN</t>
        </is>
      </c>
      <c r="E462" t="inlineStr">
        <is>
          <t>GISLAVED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35943-2022</t>
        </is>
      </c>
      <c r="B463" s="1" t="n">
        <v>44802</v>
      </c>
      <c r="C463" s="1" t="n">
        <v>45642</v>
      </c>
      <c r="D463" t="inlineStr">
        <is>
          <t>JÖNKÖPINGS LÄN</t>
        </is>
      </c>
      <c r="E463" t="inlineStr">
        <is>
          <t>GISLAVED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35960-2022</t>
        </is>
      </c>
      <c r="B464" s="1" t="n">
        <v>44802</v>
      </c>
      <c r="C464" s="1" t="n">
        <v>45642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35951-2022</t>
        </is>
      </c>
      <c r="B465" s="1" t="n">
        <v>44802</v>
      </c>
      <c r="C465" s="1" t="n">
        <v>45642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35940-2022</t>
        </is>
      </c>
      <c r="B466" s="1" t="n">
        <v>44802</v>
      </c>
      <c r="C466" s="1" t="n">
        <v>45642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35948-2022</t>
        </is>
      </c>
      <c r="B467" s="1" t="n">
        <v>44802</v>
      </c>
      <c r="C467" s="1" t="n">
        <v>45642</v>
      </c>
      <c r="D467" t="inlineStr">
        <is>
          <t>JÖNKÖPINGS LÄN</t>
        </is>
      </c>
      <c r="E467" t="inlineStr">
        <is>
          <t>GISLAVED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35963-2022</t>
        </is>
      </c>
      <c r="B468" s="1" t="n">
        <v>44802</v>
      </c>
      <c r="C468" s="1" t="n">
        <v>45642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36983-2022</t>
        </is>
      </c>
      <c r="B469" s="1" t="n">
        <v>44806</v>
      </c>
      <c r="C469" s="1" t="n">
        <v>45642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37081-2022</t>
        </is>
      </c>
      <c r="B470" s="1" t="n">
        <v>44806</v>
      </c>
      <c r="C470" s="1" t="n">
        <v>45642</v>
      </c>
      <c r="D470" t="inlineStr">
        <is>
          <t>JÖNKÖPINGS LÄN</t>
        </is>
      </c>
      <c r="E470" t="inlineStr">
        <is>
          <t>GISLAVED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37361-2022</t>
        </is>
      </c>
      <c r="B471" s="1" t="n">
        <v>44809</v>
      </c>
      <c r="C471" s="1" t="n">
        <v>45642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37353-2022</t>
        </is>
      </c>
      <c r="B472" s="1" t="n">
        <v>44809</v>
      </c>
      <c r="C472" s="1" t="n">
        <v>45642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37634-2022</t>
        </is>
      </c>
      <c r="B473" s="1" t="n">
        <v>44810</v>
      </c>
      <c r="C473" s="1" t="n">
        <v>45642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37811-2022</t>
        </is>
      </c>
      <c r="B474" s="1" t="n">
        <v>44810</v>
      </c>
      <c r="C474" s="1" t="n">
        <v>45642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38142-2022</t>
        </is>
      </c>
      <c r="B475" s="1" t="n">
        <v>44812</v>
      </c>
      <c r="C475" s="1" t="n">
        <v>45642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38347-2022</t>
        </is>
      </c>
      <c r="B476" s="1" t="n">
        <v>44812</v>
      </c>
      <c r="C476" s="1" t="n">
        <v>45642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39335-2022</t>
        </is>
      </c>
      <c r="B477" s="1" t="n">
        <v>44817</v>
      </c>
      <c r="C477" s="1" t="n">
        <v>45642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39339-2022</t>
        </is>
      </c>
      <c r="B478" s="1" t="n">
        <v>44817</v>
      </c>
      <c r="C478" s="1" t="n">
        <v>45642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39607-2022</t>
        </is>
      </c>
      <c r="B479" s="1" t="n">
        <v>44818</v>
      </c>
      <c r="C479" s="1" t="n">
        <v>45642</v>
      </c>
      <c r="D479" t="inlineStr">
        <is>
          <t>JÖNKÖPINGS LÄN</t>
        </is>
      </c>
      <c r="E479" t="inlineStr">
        <is>
          <t>GISLAVED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39776-2022</t>
        </is>
      </c>
      <c r="B480" s="1" t="n">
        <v>44819</v>
      </c>
      <c r="C480" s="1" t="n">
        <v>45642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40051-2022</t>
        </is>
      </c>
      <c r="B481" s="1" t="n">
        <v>44820</v>
      </c>
      <c r="C481" s="1" t="n">
        <v>45642</v>
      </c>
      <c r="D481" t="inlineStr">
        <is>
          <t>JÖNKÖPINGS LÄN</t>
        </is>
      </c>
      <c r="E481" t="inlineStr">
        <is>
          <t>GISLAVED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40761-2022</t>
        </is>
      </c>
      <c r="B482" s="1" t="n">
        <v>44824</v>
      </c>
      <c r="C482" s="1" t="n">
        <v>45642</v>
      </c>
      <c r="D482" t="inlineStr">
        <is>
          <t>JÖNKÖPINGS LÄN</t>
        </is>
      </c>
      <c r="E482" t="inlineStr">
        <is>
          <t>GISLAVED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40763-2022</t>
        </is>
      </c>
      <c r="B483" s="1" t="n">
        <v>44824</v>
      </c>
      <c r="C483" s="1" t="n">
        <v>45642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44568-2022</t>
        </is>
      </c>
      <c r="B484" s="1" t="n">
        <v>44840</v>
      </c>
      <c r="C484" s="1" t="n">
        <v>45642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44493-2022</t>
        </is>
      </c>
      <c r="B485" s="1" t="n">
        <v>44840</v>
      </c>
      <c r="C485" s="1" t="n">
        <v>45642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44559-2022</t>
        </is>
      </c>
      <c r="B486" s="1" t="n">
        <v>44840</v>
      </c>
      <c r="C486" s="1" t="n">
        <v>45642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44491-2022</t>
        </is>
      </c>
      <c r="B487" s="1" t="n">
        <v>44840</v>
      </c>
      <c r="C487" s="1" t="n">
        <v>45642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44574-2022</t>
        </is>
      </c>
      <c r="B488" s="1" t="n">
        <v>44840</v>
      </c>
      <c r="C488" s="1" t="n">
        <v>45642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44575-2022</t>
        </is>
      </c>
      <c r="B489" s="1" t="n">
        <v>44840</v>
      </c>
      <c r="C489" s="1" t="n">
        <v>45642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45544-2022</t>
        </is>
      </c>
      <c r="B490" s="1" t="n">
        <v>44845</v>
      </c>
      <c r="C490" s="1" t="n">
        <v>45642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47309-2022</t>
        </is>
      </c>
      <c r="B491" s="1" t="n">
        <v>44853</v>
      </c>
      <c r="C491" s="1" t="n">
        <v>45642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47513-2022</t>
        </is>
      </c>
      <c r="B492" s="1" t="n">
        <v>44853</v>
      </c>
      <c r="C492" s="1" t="n">
        <v>45642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47883-2022</t>
        </is>
      </c>
      <c r="B493" s="1" t="n">
        <v>44855</v>
      </c>
      <c r="C493" s="1" t="n">
        <v>45642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49103-2022</t>
        </is>
      </c>
      <c r="B494" s="1" t="n">
        <v>44860</v>
      </c>
      <c r="C494" s="1" t="n">
        <v>45642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50161-2022</t>
        </is>
      </c>
      <c r="B495" s="1" t="n">
        <v>44860</v>
      </c>
      <c r="C495" s="1" t="n">
        <v>45642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50070-2022</t>
        </is>
      </c>
      <c r="B496" s="1" t="n">
        <v>44865</v>
      </c>
      <c r="C496" s="1" t="n">
        <v>45642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50346-2022</t>
        </is>
      </c>
      <c r="B497" s="1" t="n">
        <v>44866</v>
      </c>
      <c r="C497" s="1" t="n">
        <v>45642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50540-2022</t>
        </is>
      </c>
      <c r="B498" s="1" t="n">
        <v>44866</v>
      </c>
      <c r="C498" s="1" t="n">
        <v>45642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45642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50541-2022</t>
        </is>
      </c>
      <c r="B500" s="1" t="n">
        <v>44866</v>
      </c>
      <c r="C500" s="1" t="n">
        <v>45642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50884-2022</t>
        </is>
      </c>
      <c r="B501" s="1" t="n">
        <v>44867</v>
      </c>
      <c r="C501" s="1" t="n">
        <v>45642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50889-2022</t>
        </is>
      </c>
      <c r="B502" s="1" t="n">
        <v>44867</v>
      </c>
      <c r="C502" s="1" t="n">
        <v>45642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52233-2022</t>
        </is>
      </c>
      <c r="B503" s="1" t="n">
        <v>44873</v>
      </c>
      <c r="C503" s="1" t="n">
        <v>45642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52228-2022</t>
        </is>
      </c>
      <c r="B504" s="1" t="n">
        <v>44873</v>
      </c>
      <c r="C504" s="1" t="n">
        <v>45642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53749-2022</t>
        </is>
      </c>
      <c r="B505" s="1" t="n">
        <v>44880</v>
      </c>
      <c r="C505" s="1" t="n">
        <v>45642</v>
      </c>
      <c r="D505" t="inlineStr">
        <is>
          <t>JÖNKÖPINGS LÄN</t>
        </is>
      </c>
      <c r="E505" t="inlineStr">
        <is>
          <t>GISLAVED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55302-2022</t>
        </is>
      </c>
      <c r="B506" s="1" t="n">
        <v>44887</v>
      </c>
      <c r="C506" s="1" t="n">
        <v>45642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55700-2022</t>
        </is>
      </c>
      <c r="B507" s="1" t="n">
        <v>44888</v>
      </c>
      <c r="C507" s="1" t="n">
        <v>45642</v>
      </c>
      <c r="D507" t="inlineStr">
        <is>
          <t>JÖNKÖPINGS LÄN</t>
        </is>
      </c>
      <c r="E507" t="inlineStr">
        <is>
          <t>GISLAVED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56471-2022</t>
        </is>
      </c>
      <c r="B508" s="1" t="n">
        <v>44893</v>
      </c>
      <c r="C508" s="1" t="n">
        <v>45642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57901-2022</t>
        </is>
      </c>
      <c r="B509" s="1" t="n">
        <v>44893</v>
      </c>
      <c r="C509" s="1" t="n">
        <v>45642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45642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56945-2022</t>
        </is>
      </c>
      <c r="B511" s="1" t="n">
        <v>44894</v>
      </c>
      <c r="C511" s="1" t="n">
        <v>45642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57426-2022</t>
        </is>
      </c>
      <c r="B512" s="1" t="n">
        <v>44896</v>
      </c>
      <c r="C512" s="1" t="n">
        <v>45642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57433-2022</t>
        </is>
      </c>
      <c r="B513" s="1" t="n">
        <v>44896</v>
      </c>
      <c r="C513" s="1" t="n">
        <v>45642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57436-2022</t>
        </is>
      </c>
      <c r="B514" s="1" t="n">
        <v>44896</v>
      </c>
      <c r="C514" s="1" t="n">
        <v>45642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59181-2022</t>
        </is>
      </c>
      <c r="B515" s="1" t="n">
        <v>44896</v>
      </c>
      <c r="C515" s="1" t="n">
        <v>45642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58659-2022</t>
        </is>
      </c>
      <c r="B516" s="1" t="n">
        <v>44902</v>
      </c>
      <c r="C516" s="1" t="n">
        <v>45642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58912-2022</t>
        </is>
      </c>
      <c r="B517" s="1" t="n">
        <v>44903</v>
      </c>
      <c r="C517" s="1" t="n">
        <v>45642</v>
      </c>
      <c r="D517" t="inlineStr">
        <is>
          <t>JÖNKÖPINGS LÄN</t>
        </is>
      </c>
      <c r="E517" t="inlineStr">
        <is>
          <t>GISLAVED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58902-2022</t>
        </is>
      </c>
      <c r="B518" s="1" t="n">
        <v>44903</v>
      </c>
      <c r="C518" s="1" t="n">
        <v>45642</v>
      </c>
      <c r="D518" t="inlineStr">
        <is>
          <t>JÖNKÖPINGS LÄN</t>
        </is>
      </c>
      <c r="E518" t="inlineStr">
        <is>
          <t>GISLAVED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58901-2022</t>
        </is>
      </c>
      <c r="B519" s="1" t="n">
        <v>44903</v>
      </c>
      <c r="C519" s="1" t="n">
        <v>45642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60321-2022</t>
        </is>
      </c>
      <c r="B520" s="1" t="n">
        <v>44903</v>
      </c>
      <c r="C520" s="1" t="n">
        <v>45642</v>
      </c>
      <c r="D520" t="inlineStr">
        <is>
          <t>JÖNKÖPINGS LÄN</t>
        </is>
      </c>
      <c r="E520" t="inlineStr">
        <is>
          <t>GISLAVED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59581-2022</t>
        </is>
      </c>
      <c r="B521" s="1" t="n">
        <v>44907</v>
      </c>
      <c r="C521" s="1" t="n">
        <v>45642</v>
      </c>
      <c r="D521" t="inlineStr">
        <is>
          <t>JÖNKÖPINGS LÄN</t>
        </is>
      </c>
      <c r="E521" t="inlineStr">
        <is>
          <t>GISLAVED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59747-2022</t>
        </is>
      </c>
      <c r="B522" s="1" t="n">
        <v>44908</v>
      </c>
      <c r="C522" s="1" t="n">
        <v>45642</v>
      </c>
      <c r="D522" t="inlineStr">
        <is>
          <t>JÖNKÖPINGS LÄN</t>
        </is>
      </c>
      <c r="E522" t="inlineStr">
        <is>
          <t>GISLAVED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60042-2022</t>
        </is>
      </c>
      <c r="B523" s="1" t="n">
        <v>44909</v>
      </c>
      <c r="C523" s="1" t="n">
        <v>45642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60087-2022</t>
        </is>
      </c>
      <c r="B524" s="1" t="n">
        <v>44909</v>
      </c>
      <c r="C524" s="1" t="n">
        <v>45642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60261-2022</t>
        </is>
      </c>
      <c r="B525" s="1" t="n">
        <v>44910</v>
      </c>
      <c r="C525" s="1" t="n">
        <v>45642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60235-2022</t>
        </is>
      </c>
      <c r="B526" s="1" t="n">
        <v>44910</v>
      </c>
      <c r="C526" s="1" t="n">
        <v>45642</v>
      </c>
      <c r="D526" t="inlineStr">
        <is>
          <t>JÖNKÖPINGS LÄN</t>
        </is>
      </c>
      <c r="E526" t="inlineStr">
        <is>
          <t>GISLAVED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61351-2022</t>
        </is>
      </c>
      <c r="B527" s="1" t="n">
        <v>44915</v>
      </c>
      <c r="C527" s="1" t="n">
        <v>45642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61688-2022</t>
        </is>
      </c>
      <c r="B528" s="1" t="n">
        <v>44917</v>
      </c>
      <c r="C528" s="1" t="n">
        <v>45642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62264-2022</t>
        </is>
      </c>
      <c r="B529" s="1" t="n">
        <v>44923</v>
      </c>
      <c r="C529" s="1" t="n">
        <v>45642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62312-2022</t>
        </is>
      </c>
      <c r="B530" s="1" t="n">
        <v>44923</v>
      </c>
      <c r="C530" s="1" t="n">
        <v>45642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62267-2022</t>
        </is>
      </c>
      <c r="B531" s="1" t="n">
        <v>44923</v>
      </c>
      <c r="C531" s="1" t="n">
        <v>45642</v>
      </c>
      <c r="D531" t="inlineStr">
        <is>
          <t>JÖNKÖPINGS LÄN</t>
        </is>
      </c>
      <c r="E531" t="inlineStr">
        <is>
          <t>GISLAVED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62274-2022</t>
        </is>
      </c>
      <c r="B532" s="1" t="n">
        <v>44923</v>
      </c>
      <c r="C532" s="1" t="n">
        <v>45642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</v>
      </c>
      <c r="C533" s="1" t="n">
        <v>45642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</v>
      </c>
      <c r="C534" s="1" t="n">
        <v>45642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794-2023</t>
        </is>
      </c>
      <c r="B535" s="1" t="n">
        <v>44931</v>
      </c>
      <c r="C535" s="1" t="n">
        <v>45642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810-2023</t>
        </is>
      </c>
      <c r="B536" s="1" t="n">
        <v>44931</v>
      </c>
      <c r="C536" s="1" t="n">
        <v>45642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817-2023</t>
        </is>
      </c>
      <c r="B537" s="1" t="n">
        <v>44931</v>
      </c>
      <c r="C537" s="1" t="n">
        <v>45642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801-2023</t>
        </is>
      </c>
      <c r="B538" s="1" t="n">
        <v>44931</v>
      </c>
      <c r="C538" s="1" t="n">
        <v>45642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791-2023</t>
        </is>
      </c>
      <c r="B539" s="1" t="n">
        <v>44931</v>
      </c>
      <c r="C539" s="1" t="n">
        <v>45642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807-2023</t>
        </is>
      </c>
      <c r="B540" s="1" t="n">
        <v>44931</v>
      </c>
      <c r="C540" s="1" t="n">
        <v>45642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1054-2023</t>
        </is>
      </c>
      <c r="B541" s="1" t="n">
        <v>44935</v>
      </c>
      <c r="C541" s="1" t="n">
        <v>45642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1753-2023</t>
        </is>
      </c>
      <c r="B542" s="1" t="n">
        <v>44938</v>
      </c>
      <c r="C542" s="1" t="n">
        <v>45642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2503-2023</t>
        </is>
      </c>
      <c r="B543" s="1" t="n">
        <v>44943</v>
      </c>
      <c r="C543" s="1" t="n">
        <v>45642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2879-2023</t>
        </is>
      </c>
      <c r="B544" s="1" t="n">
        <v>44945</v>
      </c>
      <c r="C544" s="1" t="n">
        <v>45642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3352-2023</t>
        </is>
      </c>
      <c r="B545" s="1" t="n">
        <v>44949</v>
      </c>
      <c r="C545" s="1" t="n">
        <v>45642</v>
      </c>
      <c r="D545" t="inlineStr">
        <is>
          <t>JÖNKÖPINGS LÄN</t>
        </is>
      </c>
      <c r="E545" t="inlineStr">
        <is>
          <t>GISLAVED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3279-2023</t>
        </is>
      </c>
      <c r="B546" s="1" t="n">
        <v>44949</v>
      </c>
      <c r="C546" s="1" t="n">
        <v>45642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3503-2023</t>
        </is>
      </c>
      <c r="B547" s="1" t="n">
        <v>44950</v>
      </c>
      <c r="C547" s="1" t="n">
        <v>45642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3850-2023</t>
        </is>
      </c>
      <c r="B548" s="1" t="n">
        <v>44951</v>
      </c>
      <c r="C548" s="1" t="n">
        <v>45642</v>
      </c>
      <c r="D548" t="inlineStr">
        <is>
          <t>JÖNKÖPINGS LÄN</t>
        </is>
      </c>
      <c r="E548" t="inlineStr">
        <is>
          <t>GISLAVED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4101-2023</t>
        </is>
      </c>
      <c r="B549" s="1" t="n">
        <v>44952</v>
      </c>
      <c r="C549" s="1" t="n">
        <v>45642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4083-2023</t>
        </is>
      </c>
      <c r="B550" s="1" t="n">
        <v>44952</v>
      </c>
      <c r="C550" s="1" t="n">
        <v>45642</v>
      </c>
      <c r="D550" t="inlineStr">
        <is>
          <t>JÖNKÖPINGS LÄN</t>
        </is>
      </c>
      <c r="E550" t="inlineStr">
        <is>
          <t>GISLAVED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5104-2023</t>
        </is>
      </c>
      <c r="B551" s="1" t="n">
        <v>44958</v>
      </c>
      <c r="C551" s="1" t="n">
        <v>45642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5105-2023</t>
        </is>
      </c>
      <c r="B552" s="1" t="n">
        <v>44958</v>
      </c>
      <c r="C552" s="1" t="n">
        <v>45642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5718-2023</t>
        </is>
      </c>
      <c r="B553" s="1" t="n">
        <v>44961</v>
      </c>
      <c r="C553" s="1" t="n">
        <v>45642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6495-2023</t>
        </is>
      </c>
      <c r="B554" s="1" t="n">
        <v>44966</v>
      </c>
      <c r="C554" s="1" t="n">
        <v>45642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6678-2023</t>
        </is>
      </c>
      <c r="B555" s="1" t="n">
        <v>44966</v>
      </c>
      <c r="C555" s="1" t="n">
        <v>45642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7236-2023</t>
        </is>
      </c>
      <c r="B556" s="1" t="n">
        <v>44970</v>
      </c>
      <c r="C556" s="1" t="n">
        <v>45642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45642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7509-2023</t>
        </is>
      </c>
      <c r="B558" s="1" t="n">
        <v>44971</v>
      </c>
      <c r="C558" s="1" t="n">
        <v>45642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7510-2023</t>
        </is>
      </c>
      <c r="B559" s="1" t="n">
        <v>44971</v>
      </c>
      <c r="C559" s="1" t="n">
        <v>45642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7508-2023</t>
        </is>
      </c>
      <c r="B560" s="1" t="n">
        <v>44971</v>
      </c>
      <c r="C560" s="1" t="n">
        <v>45642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7547-2023</t>
        </is>
      </c>
      <c r="B561" s="1" t="n">
        <v>44972</v>
      </c>
      <c r="C561" s="1" t="n">
        <v>45642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7551-2023</t>
        </is>
      </c>
      <c r="B562" s="1" t="n">
        <v>44972</v>
      </c>
      <c r="C562" s="1" t="n">
        <v>45642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8308-2023</t>
        </is>
      </c>
      <c r="B563" s="1" t="n">
        <v>44974</v>
      </c>
      <c r="C563" s="1" t="n">
        <v>45642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8309-2023</t>
        </is>
      </c>
      <c r="B564" s="1" t="n">
        <v>44974</v>
      </c>
      <c r="C564" s="1" t="n">
        <v>45642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8310-2023</t>
        </is>
      </c>
      <c r="B565" s="1" t="n">
        <v>44974</v>
      </c>
      <c r="C565" s="1" t="n">
        <v>45642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8311-2023</t>
        </is>
      </c>
      <c r="B566" s="1" t="n">
        <v>44974</v>
      </c>
      <c r="C566" s="1" t="n">
        <v>45642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8481-2023</t>
        </is>
      </c>
      <c r="B567" s="1" t="n">
        <v>44977</v>
      </c>
      <c r="C567" s="1" t="n">
        <v>45642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10127-2023</t>
        </is>
      </c>
      <c r="B568" s="1" t="n">
        <v>44986</v>
      </c>
      <c r="C568" s="1" t="n">
        <v>45642</v>
      </c>
      <c r="D568" t="inlineStr">
        <is>
          <t>JÖNKÖPINGS LÄN</t>
        </is>
      </c>
      <c r="E568" t="inlineStr">
        <is>
          <t>GISLAVED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10152-2023</t>
        </is>
      </c>
      <c r="B569" s="1" t="n">
        <v>44986</v>
      </c>
      <c r="C569" s="1" t="n">
        <v>45642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45642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10168-2023</t>
        </is>
      </c>
      <c r="B571" s="1" t="n">
        <v>44986</v>
      </c>
      <c r="C571" s="1" t="n">
        <v>45642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11943-2023</t>
        </is>
      </c>
      <c r="B572" s="1" t="n">
        <v>44995</v>
      </c>
      <c r="C572" s="1" t="n">
        <v>45642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12547-2023</t>
        </is>
      </c>
      <c r="B573" s="1" t="n">
        <v>45000</v>
      </c>
      <c r="C573" s="1" t="n">
        <v>45642</v>
      </c>
      <c r="D573" t="inlineStr">
        <is>
          <t>JÖNKÖPINGS LÄN</t>
        </is>
      </c>
      <c r="E573" t="inlineStr">
        <is>
          <t>GISLAVED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13216-2023</t>
        </is>
      </c>
      <c r="B574" s="1" t="n">
        <v>45002</v>
      </c>
      <c r="C574" s="1" t="n">
        <v>45642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13915-2023</t>
        </is>
      </c>
      <c r="B575" s="1" t="n">
        <v>45008</v>
      </c>
      <c r="C575" s="1" t="n">
        <v>45642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13982-2023</t>
        </is>
      </c>
      <c r="B576" s="1" t="n">
        <v>45008</v>
      </c>
      <c r="C576" s="1" t="n">
        <v>45642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</v>
      </c>
      <c r="C577" s="1" t="n">
        <v>45642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14220-2023</t>
        </is>
      </c>
      <c r="B578" s="1" t="n">
        <v>45009</v>
      </c>
      <c r="C578" s="1" t="n">
        <v>45642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14219-2023</t>
        </is>
      </c>
      <c r="B579" s="1" t="n">
        <v>45009</v>
      </c>
      <c r="C579" s="1" t="n">
        <v>45642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14217-2023</t>
        </is>
      </c>
      <c r="B580" s="1" t="n">
        <v>45009</v>
      </c>
      <c r="C580" s="1" t="n">
        <v>45642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14221-2023</t>
        </is>
      </c>
      <c r="B581" s="1" t="n">
        <v>45009</v>
      </c>
      <c r="C581" s="1" t="n">
        <v>45642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14317-2023</t>
        </is>
      </c>
      <c r="B582" s="1" t="n">
        <v>45012</v>
      </c>
      <c r="C582" s="1" t="n">
        <v>45642</v>
      </c>
      <c r="D582" t="inlineStr">
        <is>
          <t>JÖNKÖPINGS LÄN</t>
        </is>
      </c>
      <c r="E582" t="inlineStr">
        <is>
          <t>GISLAVED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14316-2023</t>
        </is>
      </c>
      <c r="B583" s="1" t="n">
        <v>45012</v>
      </c>
      <c r="C583" s="1" t="n">
        <v>45642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14380-2023</t>
        </is>
      </c>
      <c r="B584" s="1" t="n">
        <v>45012</v>
      </c>
      <c r="C584" s="1" t="n">
        <v>45642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14381-2023</t>
        </is>
      </c>
      <c r="B585" s="1" t="n">
        <v>45012</v>
      </c>
      <c r="C585" s="1" t="n">
        <v>45642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16016-2023</t>
        </is>
      </c>
      <c r="B586" s="1" t="n">
        <v>45026</v>
      </c>
      <c r="C586" s="1" t="n">
        <v>45642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45642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16032-2023</t>
        </is>
      </c>
      <c r="B588" s="1" t="n">
        <v>45027</v>
      </c>
      <c r="C588" s="1" t="n">
        <v>45642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18531-2023</t>
        </is>
      </c>
      <c r="B589" s="1" t="n">
        <v>45042</v>
      </c>
      <c r="C589" s="1" t="n">
        <v>45642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18438-2023</t>
        </is>
      </c>
      <c r="B590" s="1" t="n">
        <v>45042</v>
      </c>
      <c r="C590" s="1" t="n">
        <v>45642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18532-2023</t>
        </is>
      </c>
      <c r="B591" s="1" t="n">
        <v>45042</v>
      </c>
      <c r="C591" s="1" t="n">
        <v>45642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19667-2023</t>
        </is>
      </c>
      <c r="B592" s="1" t="n">
        <v>45051</v>
      </c>
      <c r="C592" s="1" t="n">
        <v>45642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20146-2023</t>
        </is>
      </c>
      <c r="B593" s="1" t="n">
        <v>45051</v>
      </c>
      <c r="C593" s="1" t="n">
        <v>45642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19897-2023</t>
        </is>
      </c>
      <c r="B594" s="1" t="n">
        <v>45054</v>
      </c>
      <c r="C594" s="1" t="n">
        <v>45642</v>
      </c>
      <c r="D594" t="inlineStr">
        <is>
          <t>JÖNKÖPINGS LÄN</t>
        </is>
      </c>
      <c r="E594" t="inlineStr">
        <is>
          <t>GISLAVED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19898-2023</t>
        </is>
      </c>
      <c r="B595" s="1" t="n">
        <v>45054</v>
      </c>
      <c r="C595" s="1" t="n">
        <v>45642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45642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23251-2023</t>
        </is>
      </c>
      <c r="B597" s="1" t="n">
        <v>45075</v>
      </c>
      <c r="C597" s="1" t="n">
        <v>45642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23722-2023</t>
        </is>
      </c>
      <c r="B598" s="1" t="n">
        <v>45077</v>
      </c>
      <c r="C598" s="1" t="n">
        <v>45642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23789-2023</t>
        </is>
      </c>
      <c r="B599" s="1" t="n">
        <v>45078</v>
      </c>
      <c r="C599" s="1" t="n">
        <v>45642</v>
      </c>
      <c r="D599" t="inlineStr">
        <is>
          <t>JÖNKÖPINGS LÄN</t>
        </is>
      </c>
      <c r="E599" t="inlineStr">
        <is>
          <t>GISLAVED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24709-2023</t>
        </is>
      </c>
      <c r="B600" s="1" t="n">
        <v>45084</v>
      </c>
      <c r="C600" s="1" t="n">
        <v>45642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24710-2023</t>
        </is>
      </c>
      <c r="B601" s="1" t="n">
        <v>45084</v>
      </c>
      <c r="C601" s="1" t="n">
        <v>45642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25095-2023</t>
        </is>
      </c>
      <c r="B602" s="1" t="n">
        <v>45086</v>
      </c>
      <c r="C602" s="1" t="n">
        <v>45642</v>
      </c>
      <c r="D602" t="inlineStr">
        <is>
          <t>JÖNKÖPINGS LÄN</t>
        </is>
      </c>
      <c r="E602" t="inlineStr">
        <is>
          <t>GISLAVED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45642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25647-2023</t>
        </is>
      </c>
      <c r="B604" s="1" t="n">
        <v>45089</v>
      </c>
      <c r="C604" s="1" t="n">
        <v>45642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25648-2023</t>
        </is>
      </c>
      <c r="B605" s="1" t="n">
        <v>45089</v>
      </c>
      <c r="C605" s="1" t="n">
        <v>45642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26220-2023</t>
        </is>
      </c>
      <c r="B606" s="1" t="n">
        <v>45091</v>
      </c>
      <c r="C606" s="1" t="n">
        <v>45642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26077-2023</t>
        </is>
      </c>
      <c r="B607" s="1" t="n">
        <v>45091</v>
      </c>
      <c r="C607" s="1" t="n">
        <v>45642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27525-2023</t>
        </is>
      </c>
      <c r="B608" s="1" t="n">
        <v>45092</v>
      </c>
      <c r="C608" s="1" t="n">
        <v>45642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26741-2023</t>
        </is>
      </c>
      <c r="B609" s="1" t="n">
        <v>45093</v>
      </c>
      <c r="C609" s="1" t="n">
        <v>45642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26926-2023</t>
        </is>
      </c>
      <c r="B610" s="1" t="n">
        <v>45093</v>
      </c>
      <c r="C610" s="1" t="n">
        <v>45642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26954-2023</t>
        </is>
      </c>
      <c r="B611" s="1" t="n">
        <v>45093</v>
      </c>
      <c r="C611" s="1" t="n">
        <v>45642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26921-2023</t>
        </is>
      </c>
      <c r="B612" s="1" t="n">
        <v>45093</v>
      </c>
      <c r="C612" s="1" t="n">
        <v>45642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27037-2023</t>
        </is>
      </c>
      <c r="B613" s="1" t="n">
        <v>45095</v>
      </c>
      <c r="C613" s="1" t="n">
        <v>45642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27252-2023</t>
        </is>
      </c>
      <c r="B614" s="1" t="n">
        <v>45096</v>
      </c>
      <c r="C614" s="1" t="n">
        <v>45642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27256-2023</t>
        </is>
      </c>
      <c r="B615" s="1" t="n">
        <v>45096</v>
      </c>
      <c r="C615" s="1" t="n">
        <v>45642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27249-2023</t>
        </is>
      </c>
      <c r="B616" s="1" t="n">
        <v>45096</v>
      </c>
      <c r="C616" s="1" t="n">
        <v>45642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27399-2023</t>
        </is>
      </c>
      <c r="B617" s="1" t="n">
        <v>45097</v>
      </c>
      <c r="C617" s="1" t="n">
        <v>45642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27401-2023</t>
        </is>
      </c>
      <c r="B618" s="1" t="n">
        <v>45097</v>
      </c>
      <c r="C618" s="1" t="n">
        <v>45642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27409-2023</t>
        </is>
      </c>
      <c r="B619" s="1" t="n">
        <v>45097</v>
      </c>
      <c r="C619" s="1" t="n">
        <v>45642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27408-2023</t>
        </is>
      </c>
      <c r="B620" s="1" t="n">
        <v>45097</v>
      </c>
      <c r="C620" s="1" t="n">
        <v>45642</v>
      </c>
      <c r="D620" t="inlineStr">
        <is>
          <t>JÖNKÖPINGS LÄN</t>
        </is>
      </c>
      <c r="E620" t="inlineStr">
        <is>
          <t>GISLAVED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27585-2023</t>
        </is>
      </c>
      <c r="B621" s="1" t="n">
        <v>45097</v>
      </c>
      <c r="C621" s="1" t="n">
        <v>45642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45642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27973-2023</t>
        </is>
      </c>
      <c r="B623" s="1" t="n">
        <v>45098</v>
      </c>
      <c r="C623" s="1" t="n">
        <v>45642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27970-2023</t>
        </is>
      </c>
      <c r="B624" s="1" t="n">
        <v>45098</v>
      </c>
      <c r="C624" s="1" t="n">
        <v>45642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27971-2023</t>
        </is>
      </c>
      <c r="B625" s="1" t="n">
        <v>45098</v>
      </c>
      <c r="C625" s="1" t="n">
        <v>45642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28286-2023</t>
        </is>
      </c>
      <c r="B626" s="1" t="n">
        <v>45099</v>
      </c>
      <c r="C626" s="1" t="n">
        <v>45642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28401-2023</t>
        </is>
      </c>
      <c r="B627" s="1" t="n">
        <v>45100</v>
      </c>
      <c r="C627" s="1" t="n">
        <v>45642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28402-2023</t>
        </is>
      </c>
      <c r="B628" s="1" t="n">
        <v>45100</v>
      </c>
      <c r="C628" s="1" t="n">
        <v>45642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28400-2023</t>
        </is>
      </c>
      <c r="B629" s="1" t="n">
        <v>45100</v>
      </c>
      <c r="C629" s="1" t="n">
        <v>45642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28399-2023</t>
        </is>
      </c>
      <c r="B630" s="1" t="n">
        <v>45100</v>
      </c>
      <c r="C630" s="1" t="n">
        <v>45642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28491-2023</t>
        </is>
      </c>
      <c r="B631" s="1" t="n">
        <v>45103</v>
      </c>
      <c r="C631" s="1" t="n">
        <v>45642</v>
      </c>
      <c r="D631" t="inlineStr">
        <is>
          <t>JÖNKÖPINGS LÄN</t>
        </is>
      </c>
      <c r="E631" t="inlineStr">
        <is>
          <t>GISLAVED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28488-2023</t>
        </is>
      </c>
      <c r="B632" s="1" t="n">
        <v>45103</v>
      </c>
      <c r="C632" s="1" t="n">
        <v>45642</v>
      </c>
      <c r="D632" t="inlineStr">
        <is>
          <t>JÖNKÖPINGS LÄN</t>
        </is>
      </c>
      <c r="E632" t="inlineStr">
        <is>
          <t>GISLAVED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28500-2023</t>
        </is>
      </c>
      <c r="B633" s="1" t="n">
        <v>45103</v>
      </c>
      <c r="C633" s="1" t="n">
        <v>45642</v>
      </c>
      <c r="D633" t="inlineStr">
        <is>
          <t>JÖNKÖPINGS LÄN</t>
        </is>
      </c>
      <c r="E633" t="inlineStr">
        <is>
          <t>GISLAVED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28964-2023</t>
        </is>
      </c>
      <c r="B634" s="1" t="n">
        <v>45104</v>
      </c>
      <c r="C634" s="1" t="n">
        <v>45642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28967-2023</t>
        </is>
      </c>
      <c r="B635" s="1" t="n">
        <v>45104</v>
      </c>
      <c r="C635" s="1" t="n">
        <v>45642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29146-2023</t>
        </is>
      </c>
      <c r="B636" s="1" t="n">
        <v>45105</v>
      </c>
      <c r="C636" s="1" t="n">
        <v>45642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29582-2023</t>
        </is>
      </c>
      <c r="B637" s="1" t="n">
        <v>45106</v>
      </c>
      <c r="C637" s="1" t="n">
        <v>45642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45642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30031-2023</t>
        </is>
      </c>
      <c r="B639" s="1" t="n">
        <v>45110</v>
      </c>
      <c r="C639" s="1" t="n">
        <v>45642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30102-2023</t>
        </is>
      </c>
      <c r="B640" s="1" t="n">
        <v>45110</v>
      </c>
      <c r="C640" s="1" t="n">
        <v>45642</v>
      </c>
      <c r="D640" t="inlineStr">
        <is>
          <t>JÖNKÖPINGS LÄN</t>
        </is>
      </c>
      <c r="E640" t="inlineStr">
        <is>
          <t>GISLAVED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45642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32588-2023</t>
        </is>
      </c>
      <c r="B642" s="1" t="n">
        <v>45111</v>
      </c>
      <c r="C642" s="1" t="n">
        <v>45642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30791-2023</t>
        </is>
      </c>
      <c r="B643" s="1" t="n">
        <v>45112</v>
      </c>
      <c r="C643" s="1" t="n">
        <v>45642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30790-2023</t>
        </is>
      </c>
      <c r="B644" s="1" t="n">
        <v>45112</v>
      </c>
      <c r="C644" s="1" t="n">
        <v>45642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31064-2023</t>
        </is>
      </c>
      <c r="B645" s="1" t="n">
        <v>45113</v>
      </c>
      <c r="C645" s="1" t="n">
        <v>45642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31063-2023</t>
        </is>
      </c>
      <c r="B646" s="1" t="n">
        <v>45113</v>
      </c>
      <c r="C646" s="1" t="n">
        <v>45642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31065-2023</t>
        </is>
      </c>
      <c r="B647" s="1" t="n">
        <v>45113</v>
      </c>
      <c r="C647" s="1" t="n">
        <v>45642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31545-2023</t>
        </is>
      </c>
      <c r="B648" s="1" t="n">
        <v>45117</v>
      </c>
      <c r="C648" s="1" t="n">
        <v>45642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31901-2023</t>
        </is>
      </c>
      <c r="B649" s="1" t="n">
        <v>45118</v>
      </c>
      <c r="C649" s="1" t="n">
        <v>45642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31888-2023</t>
        </is>
      </c>
      <c r="B650" s="1" t="n">
        <v>45118</v>
      </c>
      <c r="C650" s="1" t="n">
        <v>45642</v>
      </c>
      <c r="D650" t="inlineStr">
        <is>
          <t>JÖNKÖPINGS LÄN</t>
        </is>
      </c>
      <c r="E650" t="inlineStr">
        <is>
          <t>GISLAVED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33644-2023</t>
        </is>
      </c>
      <c r="B651" s="1" t="n">
        <v>45119</v>
      </c>
      <c r="C651" s="1" t="n">
        <v>45642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32322-2023</t>
        </is>
      </c>
      <c r="B652" s="1" t="n">
        <v>45120</v>
      </c>
      <c r="C652" s="1" t="n">
        <v>45642</v>
      </c>
      <c r="D652" t="inlineStr">
        <is>
          <t>JÖNKÖPINGS LÄN</t>
        </is>
      </c>
      <c r="E652" t="inlineStr">
        <is>
          <t>GISLAVED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32931-2023</t>
        </is>
      </c>
      <c r="B653" s="1" t="n">
        <v>45125</v>
      </c>
      <c r="C653" s="1" t="n">
        <v>45642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33582-2023</t>
        </is>
      </c>
      <c r="B654" s="1" t="n">
        <v>45131</v>
      </c>
      <c r="C654" s="1" t="n">
        <v>45642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33793-2023</t>
        </is>
      </c>
      <c r="B655" s="1" t="n">
        <v>45133</v>
      </c>
      <c r="C655" s="1" t="n">
        <v>45642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34012-2023</t>
        </is>
      </c>
      <c r="B656" s="1" t="n">
        <v>45135</v>
      </c>
      <c r="C656" s="1" t="n">
        <v>45642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34553-2023</t>
        </is>
      </c>
      <c r="B657" s="1" t="n">
        <v>45140</v>
      </c>
      <c r="C657" s="1" t="n">
        <v>45642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36609-2023</t>
        </is>
      </c>
      <c r="B658" s="1" t="n">
        <v>45153</v>
      </c>
      <c r="C658" s="1" t="n">
        <v>45642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36787-2023</t>
        </is>
      </c>
      <c r="B659" s="1" t="n">
        <v>45154</v>
      </c>
      <c r="C659" s="1" t="n">
        <v>45642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36788-2023</t>
        </is>
      </c>
      <c r="B660" s="1" t="n">
        <v>45154</v>
      </c>
      <c r="C660" s="1" t="n">
        <v>45642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37080-2023</t>
        </is>
      </c>
      <c r="B661" s="1" t="n">
        <v>45155</v>
      </c>
      <c r="C661" s="1" t="n">
        <v>45642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37175-2023</t>
        </is>
      </c>
      <c r="B662" s="1" t="n">
        <v>45155</v>
      </c>
      <c r="C662" s="1" t="n">
        <v>45642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37178-2023</t>
        </is>
      </c>
      <c r="B663" s="1" t="n">
        <v>45155</v>
      </c>
      <c r="C663" s="1" t="n">
        <v>45642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37587-2023</t>
        </is>
      </c>
      <c r="B664" s="1" t="n">
        <v>45159</v>
      </c>
      <c r="C664" s="1" t="n">
        <v>45642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25.4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45642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37641-2023</t>
        </is>
      </c>
      <c r="B666" s="1" t="n">
        <v>45159</v>
      </c>
      <c r="C666" s="1" t="n">
        <v>45642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</v>
      </c>
      <c r="C667" s="1" t="n">
        <v>45642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38291-2023</t>
        </is>
      </c>
      <c r="B668" s="1" t="n">
        <v>45161</v>
      </c>
      <c r="C668" s="1" t="n">
        <v>45642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38967-2023</t>
        </is>
      </c>
      <c r="B669" s="1" t="n">
        <v>45163</v>
      </c>
      <c r="C669" s="1" t="n">
        <v>45642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38972-2023</t>
        </is>
      </c>
      <c r="B670" s="1" t="n">
        <v>45163</v>
      </c>
      <c r="C670" s="1" t="n">
        <v>45642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38962-2023</t>
        </is>
      </c>
      <c r="B671" s="1" t="n">
        <v>45163</v>
      </c>
      <c r="C671" s="1" t="n">
        <v>45642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</v>
      </c>
      <c r="C672" s="1" t="n">
        <v>45642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39161-2023</t>
        </is>
      </c>
      <c r="B673" s="1" t="n">
        <v>45166</v>
      </c>
      <c r="C673" s="1" t="n">
        <v>45642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39525-2023</t>
        </is>
      </c>
      <c r="B674" s="1" t="n">
        <v>45167</v>
      </c>
      <c r="C674" s="1" t="n">
        <v>45642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</v>
      </c>
      <c r="C675" s="1" t="n">
        <v>45642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</v>
      </c>
      <c r="C676" s="1" t="n">
        <v>45642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41089-2023</t>
        </is>
      </c>
      <c r="B677" s="1" t="n">
        <v>45170</v>
      </c>
      <c r="C677" s="1" t="n">
        <v>45642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42070-2023</t>
        </is>
      </c>
      <c r="B678" s="1" t="n">
        <v>45174</v>
      </c>
      <c r="C678" s="1" t="n">
        <v>45642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45642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41626-2023</t>
        </is>
      </c>
      <c r="B680" s="1" t="n">
        <v>45175</v>
      </c>
      <c r="C680" s="1" t="n">
        <v>45642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41625-2023</t>
        </is>
      </c>
      <c r="B681" s="1" t="n">
        <v>45175</v>
      </c>
      <c r="C681" s="1" t="n">
        <v>45642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41757-2023</t>
        </is>
      </c>
      <c r="B682" s="1" t="n">
        <v>45176</v>
      </c>
      <c r="C682" s="1" t="n">
        <v>45642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42651-2023</t>
        </is>
      </c>
      <c r="B683" s="1" t="n">
        <v>45176</v>
      </c>
      <c r="C683" s="1" t="n">
        <v>45642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45642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42980-2023</t>
        </is>
      </c>
      <c r="B685" s="1" t="n">
        <v>45177</v>
      </c>
      <c r="C685" s="1" t="n">
        <v>45642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42288-2023</t>
        </is>
      </c>
      <c r="B686" s="1" t="n">
        <v>45180</v>
      </c>
      <c r="C686" s="1" t="n">
        <v>45642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45642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43366-2023</t>
        </is>
      </c>
      <c r="B688" s="1" t="n">
        <v>45183</v>
      </c>
      <c r="C688" s="1" t="n">
        <v>45642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43713-2023</t>
        </is>
      </c>
      <c r="B689" s="1" t="n">
        <v>45187</v>
      </c>
      <c r="C689" s="1" t="n">
        <v>45642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43707-2023</t>
        </is>
      </c>
      <c r="B690" s="1" t="n">
        <v>45187</v>
      </c>
      <c r="C690" s="1" t="n">
        <v>45642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44569-2023</t>
        </is>
      </c>
      <c r="B691" s="1" t="n">
        <v>45189</v>
      </c>
      <c r="C691" s="1" t="n">
        <v>45642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</v>
      </c>
      <c r="C692" s="1" t="n">
        <v>45642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44469-2023</t>
        </is>
      </c>
      <c r="B693" s="1" t="n">
        <v>45189</v>
      </c>
      <c r="C693" s="1" t="n">
        <v>45642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44742-2023</t>
        </is>
      </c>
      <c r="B694" s="1" t="n">
        <v>45190</v>
      </c>
      <c r="C694" s="1" t="n">
        <v>45642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44935-2023</t>
        </is>
      </c>
      <c r="B695" s="1" t="n">
        <v>45190</v>
      </c>
      <c r="C695" s="1" t="n">
        <v>45642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44928-2023</t>
        </is>
      </c>
      <c r="B696" s="1" t="n">
        <v>45190</v>
      </c>
      <c r="C696" s="1" t="n">
        <v>45642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45263-2023</t>
        </is>
      </c>
      <c r="B697" s="1" t="n">
        <v>45191</v>
      </c>
      <c r="C697" s="1" t="n">
        <v>45642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45285-2023</t>
        </is>
      </c>
      <c r="B698" s="1" t="n">
        <v>45191</v>
      </c>
      <c r="C698" s="1" t="n">
        <v>45642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45261-2023</t>
        </is>
      </c>
      <c r="B699" s="1" t="n">
        <v>45191</v>
      </c>
      <c r="C699" s="1" t="n">
        <v>45642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45213-2023</t>
        </is>
      </c>
      <c r="B700" s="1" t="n">
        <v>45191</v>
      </c>
      <c r="C700" s="1" t="n">
        <v>45642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45232-2023</t>
        </is>
      </c>
      <c r="B701" s="1" t="n">
        <v>45191</v>
      </c>
      <c r="C701" s="1" t="n">
        <v>45642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45264-2023</t>
        </is>
      </c>
      <c r="B702" s="1" t="n">
        <v>45191</v>
      </c>
      <c r="C702" s="1" t="n">
        <v>45642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45996-2023</t>
        </is>
      </c>
      <c r="B703" s="1" t="n">
        <v>45196</v>
      </c>
      <c r="C703" s="1" t="n">
        <v>45642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45995-2023</t>
        </is>
      </c>
      <c r="B704" s="1" t="n">
        <v>45196</v>
      </c>
      <c r="C704" s="1" t="n">
        <v>45642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46165-2023</t>
        </is>
      </c>
      <c r="B705" s="1" t="n">
        <v>45196</v>
      </c>
      <c r="C705" s="1" t="n">
        <v>45642</v>
      </c>
      <c r="D705" t="inlineStr">
        <is>
          <t>JÖNKÖPINGS LÄN</t>
        </is>
      </c>
      <c r="E705" t="inlineStr">
        <is>
          <t>GISLAVED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45642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47722-2023</t>
        </is>
      </c>
      <c r="B707" s="1" t="n">
        <v>45198</v>
      </c>
      <c r="C707" s="1" t="n">
        <v>45642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47736-2023</t>
        </is>
      </c>
      <c r="B708" s="1" t="n">
        <v>45198</v>
      </c>
      <c r="C708" s="1" t="n">
        <v>45642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47729-2023</t>
        </is>
      </c>
      <c r="B709" s="1" t="n">
        <v>45198</v>
      </c>
      <c r="C709" s="1" t="n">
        <v>45642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46848-2023</t>
        </is>
      </c>
      <c r="B710" s="1" t="n">
        <v>45199</v>
      </c>
      <c r="C710" s="1" t="n">
        <v>45642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46885-2023</t>
        </is>
      </c>
      <c r="B711" s="1" t="n">
        <v>45201</v>
      </c>
      <c r="C711" s="1" t="n">
        <v>45642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46887-2023</t>
        </is>
      </c>
      <c r="B712" s="1" t="n">
        <v>45201</v>
      </c>
      <c r="C712" s="1" t="n">
        <v>45642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47891-2023</t>
        </is>
      </c>
      <c r="B713" s="1" t="n">
        <v>45204</v>
      </c>
      <c r="C713" s="1" t="n">
        <v>45642</v>
      </c>
      <c r="D713" t="inlineStr">
        <is>
          <t>JÖNKÖPINGS LÄN</t>
        </is>
      </c>
      <c r="E713" t="inlineStr">
        <is>
          <t>GISLAVED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47972-2023</t>
        </is>
      </c>
      <c r="B714" s="1" t="n">
        <v>45204</v>
      </c>
      <c r="C714" s="1" t="n">
        <v>45642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49447-2023</t>
        </is>
      </c>
      <c r="B715" s="1" t="n">
        <v>45211</v>
      </c>
      <c r="C715" s="1" t="n">
        <v>45642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49485-2023</t>
        </is>
      </c>
      <c r="B716" s="1" t="n">
        <v>45211</v>
      </c>
      <c r="C716" s="1" t="n">
        <v>45642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49493-2023</t>
        </is>
      </c>
      <c r="B717" s="1" t="n">
        <v>45211</v>
      </c>
      <c r="C717" s="1" t="n">
        <v>45642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49486-2023</t>
        </is>
      </c>
      <c r="B718" s="1" t="n">
        <v>45211</v>
      </c>
      <c r="C718" s="1" t="n">
        <v>45642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</v>
      </c>
      <c r="C719" s="1" t="n">
        <v>45642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49494-2023</t>
        </is>
      </c>
      <c r="B720" s="1" t="n">
        <v>45211</v>
      </c>
      <c r="C720" s="1" t="n">
        <v>45642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49790-2023</t>
        </is>
      </c>
      <c r="B721" s="1" t="n">
        <v>45212</v>
      </c>
      <c r="C721" s="1" t="n">
        <v>45642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49802-2023</t>
        </is>
      </c>
      <c r="B722" s="1" t="n">
        <v>45212</v>
      </c>
      <c r="C722" s="1" t="n">
        <v>45642</v>
      </c>
      <c r="D722" t="inlineStr">
        <is>
          <t>JÖNKÖPINGS LÄN</t>
        </is>
      </c>
      <c r="E722" t="inlineStr">
        <is>
          <t>GISLAVED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49801-2023</t>
        </is>
      </c>
      <c r="B723" s="1" t="n">
        <v>45212</v>
      </c>
      <c r="C723" s="1" t="n">
        <v>45642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50849-2023</t>
        </is>
      </c>
      <c r="B724" s="1" t="n">
        <v>45218</v>
      </c>
      <c r="C724" s="1" t="n">
        <v>45642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51500-2023</t>
        </is>
      </c>
      <c r="B725" s="1" t="n">
        <v>45222</v>
      </c>
      <c r="C725" s="1" t="n">
        <v>45642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52012-2023</t>
        </is>
      </c>
      <c r="B726" s="1" t="n">
        <v>45223</v>
      </c>
      <c r="C726" s="1" t="n">
        <v>45642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52015-2023</t>
        </is>
      </c>
      <c r="B727" s="1" t="n">
        <v>45223</v>
      </c>
      <c r="C727" s="1" t="n">
        <v>45642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52025-2023</t>
        </is>
      </c>
      <c r="B728" s="1" t="n">
        <v>45223</v>
      </c>
      <c r="C728" s="1" t="n">
        <v>45642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53401-2023</t>
        </is>
      </c>
      <c r="B729" s="1" t="n">
        <v>45229</v>
      </c>
      <c r="C729" s="1" t="n">
        <v>45642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53578-2023</t>
        </is>
      </c>
      <c r="B730" s="1" t="n">
        <v>45230</v>
      </c>
      <c r="C730" s="1" t="n">
        <v>45642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</v>
      </c>
      <c r="C731" s="1" t="n">
        <v>45642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55486-2023</t>
        </is>
      </c>
      <c r="B732" s="1" t="n">
        <v>45231</v>
      </c>
      <c r="C732" s="1" t="n">
        <v>45642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45642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45642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45642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45642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45642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45642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45642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45642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45642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45642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45642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45642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45642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45642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45642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45642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45642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45642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45642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45642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45642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45642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45642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45642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45642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45642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45642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45642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45642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45642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45642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45642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45642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45642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45642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45642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45642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45642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45642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45642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45642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45642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45642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45642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45642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45642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45642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45642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45642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45642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45642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45642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45642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45642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45642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45642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45642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45642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45642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45642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45642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45642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45642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45642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45642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45642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45642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45642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45642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45642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45642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45642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45642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45642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45642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45642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45642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45642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45642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45642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45642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45642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45642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45642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45642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45642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45642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45642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45642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45642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45642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45642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45642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45642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45642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45642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45642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45642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45642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45642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45642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45642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45642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45642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45642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45642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45642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45642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45642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45642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45642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45642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45642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45642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45642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45642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45642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45642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45642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45642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45642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45642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45642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45642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45642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45642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45642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45642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45642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45642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45642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45642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45642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45642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45642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45642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45642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45642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45642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45642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45642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45642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45642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45642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45642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45642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45642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45642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45642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45642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45642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45642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45642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45642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45642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45642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45642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45642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45642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45642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45642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45642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45642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45642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45642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45642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45642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45642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45642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45642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45642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45642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45642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45642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45642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45642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45642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45642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45642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45642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45642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45642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45642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45642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45642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45642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45642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45642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45642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45642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45642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45642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45642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45642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45642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45642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45642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45642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45642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45642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45642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45642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45642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45642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45642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45642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45642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45642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45642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45642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45642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45642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45642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45642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45642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45642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45642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45642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45642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45642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45642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45642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45642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45642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45642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45642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45642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45642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45642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45642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45642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45642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45642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45642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45642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45642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45642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45642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45642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45642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45642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45642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45642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45642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45642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45642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45642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45642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45642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45642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45642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45642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45642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45642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45642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45642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45642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45642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45642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45642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45642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45642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45642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45642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45642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45642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45642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45642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45642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45642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45642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45642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45642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45642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45642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45642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45642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45642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45642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45642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45642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45642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45642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45642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45642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45642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45642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45642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45642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45642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45642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45642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45642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45642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45642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45642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45642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45642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45642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45642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45642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45642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45642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45642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45642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45642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45642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45642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45642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45642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45642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45642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45642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45642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45642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45642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45642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45642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45642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45642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45642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45642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45642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45642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45642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45642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45642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45642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45642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45642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45642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45642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45642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45642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45642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45642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45642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45642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45642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45642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45642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51114-2024</t>
        </is>
      </c>
      <c r="B1074" s="1" t="n">
        <v>45603</v>
      </c>
      <c r="C1074" s="1" t="n">
        <v>45642</v>
      </c>
      <c r="D1074" t="inlineStr">
        <is>
          <t>JÖNKÖPINGS LÄN</t>
        </is>
      </c>
      <c r="E1074" t="inlineStr">
        <is>
          <t>GISLAVED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45642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45642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51087-2024</t>
        </is>
      </c>
      <c r="B1077" s="1" t="n">
        <v>45603</v>
      </c>
      <c r="C1077" s="1" t="n">
        <v>45642</v>
      </c>
      <c r="D1077" t="inlineStr">
        <is>
          <t>JÖNKÖPINGS LÄN</t>
        </is>
      </c>
      <c r="E1077" t="inlineStr">
        <is>
          <t>GISLAVED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51099-2024</t>
        </is>
      </c>
      <c r="B1078" s="1" t="n">
        <v>45603</v>
      </c>
      <c r="C1078" s="1" t="n">
        <v>45642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51093-2024</t>
        </is>
      </c>
      <c r="B1079" s="1" t="n">
        <v>45603</v>
      </c>
      <c r="C1079" s="1" t="n">
        <v>45642</v>
      </c>
      <c r="D1079" t="inlineStr">
        <is>
          <t>JÖNKÖPINGS LÄN</t>
        </is>
      </c>
      <c r="E1079" t="inlineStr">
        <is>
          <t>GISLAVED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45642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51924-2024</t>
        </is>
      </c>
      <c r="B1081" s="1" t="n">
        <v>45607</v>
      </c>
      <c r="C1081" s="1" t="n">
        <v>45642</v>
      </c>
      <c r="D1081" t="inlineStr">
        <is>
          <t>JÖNKÖPINGS LÄN</t>
        </is>
      </c>
      <c r="E1081" t="inlineStr">
        <is>
          <t>GISLAVED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51792-2024</t>
        </is>
      </c>
      <c r="B1082" s="1" t="n">
        <v>45607</v>
      </c>
      <c r="C1082" s="1" t="n">
        <v>45642</v>
      </c>
      <c r="D1082" t="inlineStr">
        <is>
          <t>JÖNKÖPINGS LÄN</t>
        </is>
      </c>
      <c r="E1082" t="inlineStr">
        <is>
          <t>GISLAVED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51811-2024</t>
        </is>
      </c>
      <c r="B1083" s="1" t="n">
        <v>45607</v>
      </c>
      <c r="C1083" s="1" t="n">
        <v>45642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51829-2024</t>
        </is>
      </c>
      <c r="B1084" s="1" t="n">
        <v>45607</v>
      </c>
      <c r="C1084" s="1" t="n">
        <v>45642</v>
      </c>
      <c r="D1084" t="inlineStr">
        <is>
          <t>JÖNKÖPINGS LÄN</t>
        </is>
      </c>
      <c r="E1084" t="inlineStr">
        <is>
          <t>GISLAVED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51934-2024</t>
        </is>
      </c>
      <c r="B1085" s="1" t="n">
        <v>45607</v>
      </c>
      <c r="C1085" s="1" t="n">
        <v>45642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51820-2024</t>
        </is>
      </c>
      <c r="B1086" s="1" t="n">
        <v>45607</v>
      </c>
      <c r="C1086" s="1" t="n">
        <v>45642</v>
      </c>
      <c r="D1086" t="inlineStr">
        <is>
          <t>JÖNKÖPINGS LÄN</t>
        </is>
      </c>
      <c r="E1086" t="inlineStr">
        <is>
          <t>GISLAVED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51828-2024</t>
        </is>
      </c>
      <c r="B1087" s="1" t="n">
        <v>45607</v>
      </c>
      <c r="C1087" s="1" t="n">
        <v>45642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51929-2024</t>
        </is>
      </c>
      <c r="B1088" s="1" t="n">
        <v>45607</v>
      </c>
      <c r="C1088" s="1" t="n">
        <v>45642</v>
      </c>
      <c r="D1088" t="inlineStr">
        <is>
          <t>JÖNKÖPINGS LÄN</t>
        </is>
      </c>
      <c r="E1088" t="inlineStr">
        <is>
          <t>GISLAVED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51835-2024</t>
        </is>
      </c>
      <c r="B1089" s="1" t="n">
        <v>45607</v>
      </c>
      <c r="C1089" s="1" t="n">
        <v>45642</v>
      </c>
      <c r="D1089" t="inlineStr">
        <is>
          <t>JÖNKÖPINGS LÄN</t>
        </is>
      </c>
      <c r="E1089" t="inlineStr">
        <is>
          <t>GISLAVED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51800-2024</t>
        </is>
      </c>
      <c r="B1090" s="1" t="n">
        <v>45607</v>
      </c>
      <c r="C1090" s="1" t="n">
        <v>45642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45642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45642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45642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45642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52980-2024</t>
        </is>
      </c>
      <c r="B1095" s="1" t="n">
        <v>45611</v>
      </c>
      <c r="C1095" s="1" t="n">
        <v>45642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52991-2024</t>
        </is>
      </c>
      <c r="B1096" s="1" t="n">
        <v>45611</v>
      </c>
      <c r="C1096" s="1" t="n">
        <v>45642</v>
      </c>
      <c r="D1096" t="inlineStr">
        <is>
          <t>JÖNKÖPINGS LÄN</t>
        </is>
      </c>
      <c r="E1096" t="inlineStr">
        <is>
          <t>GISLAVED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52978-2024</t>
        </is>
      </c>
      <c r="B1097" s="1" t="n">
        <v>45611</v>
      </c>
      <c r="C1097" s="1" t="n">
        <v>45642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52993-2024</t>
        </is>
      </c>
      <c r="B1098" s="1" t="n">
        <v>45611</v>
      </c>
      <c r="C1098" s="1" t="n">
        <v>45642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53269-2024</t>
        </is>
      </c>
      <c r="B1099" s="1" t="n">
        <v>45614</v>
      </c>
      <c r="C1099" s="1" t="n">
        <v>45642</v>
      </c>
      <c r="D1099" t="inlineStr">
        <is>
          <t>JÖNKÖPINGS LÄN</t>
        </is>
      </c>
      <c r="E1099" t="inlineStr">
        <is>
          <t>GISLAVED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53258-2024</t>
        </is>
      </c>
      <c r="B1100" s="1" t="n">
        <v>45614</v>
      </c>
      <c r="C1100" s="1" t="n">
        <v>45642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45642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53646-2024</t>
        </is>
      </c>
      <c r="B1102" s="1" t="n">
        <v>45615</v>
      </c>
      <c r="C1102" s="1" t="n">
        <v>45642</v>
      </c>
      <c r="D1102" t="inlineStr">
        <is>
          <t>JÖNKÖPINGS LÄN</t>
        </is>
      </c>
      <c r="E1102" t="inlineStr">
        <is>
          <t>GISLAVED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45642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53644-2024</t>
        </is>
      </c>
      <c r="B1104" s="1" t="n">
        <v>45615</v>
      </c>
      <c r="C1104" s="1" t="n">
        <v>45642</v>
      </c>
      <c r="D1104" t="inlineStr">
        <is>
          <t>JÖNKÖPINGS LÄN</t>
        </is>
      </c>
      <c r="E1104" t="inlineStr">
        <is>
          <t>GISLAVED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45642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45642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45642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45642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45642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56089-2024</t>
        </is>
      </c>
      <c r="B1110" s="1" t="n">
        <v>45624</v>
      </c>
      <c r="C1110" s="1" t="n">
        <v>45642</v>
      </c>
      <c r="D1110" t="inlineStr">
        <is>
          <t>JÖNKÖPINGS LÄN</t>
        </is>
      </c>
      <c r="E1110" t="inlineStr">
        <is>
          <t>GISLAVED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56177-2024</t>
        </is>
      </c>
      <c r="B1111" s="1" t="n">
        <v>45624</v>
      </c>
      <c r="C1111" s="1" t="n">
        <v>45642</v>
      </c>
      <c r="D1111" t="inlineStr">
        <is>
          <t>JÖNKÖPINGS LÄN</t>
        </is>
      </c>
      <c r="E1111" t="inlineStr">
        <is>
          <t>GISLAVED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45642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57252-2024</t>
        </is>
      </c>
      <c r="B1113" s="1" t="n">
        <v>45629</v>
      </c>
      <c r="C1113" s="1" t="n">
        <v>45642</v>
      </c>
      <c r="D1113" t="inlineStr">
        <is>
          <t>JÖNKÖPINGS LÄN</t>
        </is>
      </c>
      <c r="E1113" t="inlineStr">
        <is>
          <t>GISLAVED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57228-2024</t>
        </is>
      </c>
      <c r="B1114" s="1" t="n">
        <v>45629</v>
      </c>
      <c r="C1114" s="1" t="n">
        <v>45642</v>
      </c>
      <c r="D1114" t="inlineStr">
        <is>
          <t>JÖNKÖPINGS LÄN</t>
        </is>
      </c>
      <c r="E1114" t="inlineStr">
        <is>
          <t>GISLAVED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57226-2024</t>
        </is>
      </c>
      <c r="B1115" s="1" t="n">
        <v>45629</v>
      </c>
      <c r="C1115" s="1" t="n">
        <v>45642</v>
      </c>
      <c r="D1115" t="inlineStr">
        <is>
          <t>JÖNKÖPINGS LÄN</t>
        </is>
      </c>
      <c r="E1115" t="inlineStr">
        <is>
          <t>GISLAVED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57239-2024</t>
        </is>
      </c>
      <c r="B1116" s="1" t="n">
        <v>45629</v>
      </c>
      <c r="C1116" s="1" t="n">
        <v>45642</v>
      </c>
      <c r="D1116" t="inlineStr">
        <is>
          <t>JÖNKÖPINGS LÄN</t>
        </is>
      </c>
      <c r="E1116" t="inlineStr">
        <is>
          <t>GISLAVED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57243-2024</t>
        </is>
      </c>
      <c r="B1117" s="1" t="n">
        <v>45629</v>
      </c>
      <c r="C1117" s="1" t="n">
        <v>45642</v>
      </c>
      <c r="D1117" t="inlineStr">
        <is>
          <t>JÖNKÖPINGS LÄN</t>
        </is>
      </c>
      <c r="E1117" t="inlineStr">
        <is>
          <t>GISLAVED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57655-2024</t>
        </is>
      </c>
      <c r="B1118" s="1" t="n">
        <v>45630</v>
      </c>
      <c r="C1118" s="1" t="n">
        <v>45642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57652-2024</t>
        </is>
      </c>
      <c r="B1119" s="1" t="n">
        <v>45630</v>
      </c>
      <c r="C1119" s="1" t="n">
        <v>45642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57656-2024</t>
        </is>
      </c>
      <c r="B1120" s="1" t="n">
        <v>45630</v>
      </c>
      <c r="C1120" s="1" t="n">
        <v>45642</v>
      </c>
      <c r="D1120" t="inlineStr">
        <is>
          <t>JÖNKÖPINGS LÄN</t>
        </is>
      </c>
      <c r="E1120" t="inlineStr">
        <is>
          <t>GISLAVED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57952-2024</t>
        </is>
      </c>
      <c r="B1121" s="1" t="n">
        <v>45631</v>
      </c>
      <c r="C1121" s="1" t="n">
        <v>45642</v>
      </c>
      <c r="D1121" t="inlineStr">
        <is>
          <t>JÖNKÖPINGS LÄN</t>
        </is>
      </c>
      <c r="E1121" t="inlineStr">
        <is>
          <t>GISLAVED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58235-2024</t>
        </is>
      </c>
      <c r="B1122" s="1" t="n">
        <v>45632</v>
      </c>
      <c r="C1122" s="1" t="n">
        <v>45642</v>
      </c>
      <c r="D1122" t="inlineStr">
        <is>
          <t>JÖNKÖPINGS LÄN</t>
        </is>
      </c>
      <c r="E1122" t="inlineStr">
        <is>
          <t>GISLAVED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58444-2024</t>
        </is>
      </c>
      <c r="B1123" s="1" t="n">
        <v>45635</v>
      </c>
      <c r="C1123" s="1" t="n">
        <v>45642</v>
      </c>
      <c r="D1123" t="inlineStr">
        <is>
          <t>JÖNKÖPINGS LÄN</t>
        </is>
      </c>
      <c r="E1123" t="inlineStr">
        <is>
          <t>GISLAVED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58597-2024</t>
        </is>
      </c>
      <c r="B1124" s="1" t="n">
        <v>45635</v>
      </c>
      <c r="C1124" s="1" t="n">
        <v>45642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58614-2024</t>
        </is>
      </c>
      <c r="B1125" s="1" t="n">
        <v>45635</v>
      </c>
      <c r="C1125" s="1" t="n">
        <v>45642</v>
      </c>
      <c r="D1125" t="inlineStr">
        <is>
          <t>JÖNKÖPINGS LÄN</t>
        </is>
      </c>
      <c r="E1125" t="inlineStr">
        <is>
          <t>GISLAVED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58701-2024</t>
        </is>
      </c>
      <c r="B1126" s="1" t="n">
        <v>45635</v>
      </c>
      <c r="C1126" s="1" t="n">
        <v>45642</v>
      </c>
      <c r="D1126" t="inlineStr">
        <is>
          <t>JÖNKÖPINGS LÄN</t>
        </is>
      </c>
      <c r="E1126" t="inlineStr">
        <is>
          <t>GISLAVED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58833-2024</t>
        </is>
      </c>
      <c r="B1127" s="1" t="n">
        <v>45636</v>
      </c>
      <c r="C1127" s="1" t="n">
        <v>45642</v>
      </c>
      <c r="D1127" t="inlineStr">
        <is>
          <t>JÖNKÖPINGS LÄN</t>
        </is>
      </c>
      <c r="E1127" t="inlineStr">
        <is>
          <t>GISLAVED</t>
        </is>
      </c>
      <c r="G1127" t="n">
        <v>8.199999999999999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59170-2024</t>
        </is>
      </c>
      <c r="B1128" s="1" t="n">
        <v>45637</v>
      </c>
      <c r="C1128" s="1" t="n">
        <v>45642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59187-2024</t>
        </is>
      </c>
      <c r="B1129" s="1" t="n">
        <v>45637</v>
      </c>
      <c r="C1129" s="1" t="n">
        <v>45642</v>
      </c>
      <c r="D1129" t="inlineStr">
        <is>
          <t>JÖNKÖPINGS LÄN</t>
        </is>
      </c>
      <c r="E1129" t="inlineStr">
        <is>
          <t>GISLAVED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59208-2024</t>
        </is>
      </c>
      <c r="B1130" s="1" t="n">
        <v>45637</v>
      </c>
      <c r="C1130" s="1" t="n">
        <v>45642</v>
      </c>
      <c r="D1130" t="inlineStr">
        <is>
          <t>JÖNKÖPINGS LÄN</t>
        </is>
      </c>
      <c r="E1130" t="inlineStr">
        <is>
          <t>GISLAVED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59804-2024</t>
        </is>
      </c>
      <c r="B1131" s="1" t="n">
        <v>45639</v>
      </c>
      <c r="C1131" s="1" t="n">
        <v>45642</v>
      </c>
      <c r="D1131" t="inlineStr">
        <is>
          <t>JÖNKÖPINGS LÄN</t>
        </is>
      </c>
      <c r="E1131" t="inlineStr">
        <is>
          <t>GISLAVED</t>
        </is>
      </c>
      <c r="G1131" t="n">
        <v>11.1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59806-2024</t>
        </is>
      </c>
      <c r="B1132" s="1" t="n">
        <v>45639</v>
      </c>
      <c r="C1132" s="1" t="n">
        <v>45642</v>
      </c>
      <c r="D1132" t="inlineStr">
        <is>
          <t>JÖNKÖPINGS LÄN</t>
        </is>
      </c>
      <c r="E1132" t="inlineStr">
        <is>
          <t>GISLAVED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2024-12-16T15:07:47Z</dcterms:created>
  <dcterms:modified xmlns:dcterms="http://purl.org/dc/terms/" xmlns:xsi="http://www.w3.org/2001/XMLSchema-instance" xsi:type="dcterms:W3CDTF">2024-12-16T15:07:48Z</dcterms:modified>
</cp:coreProperties>
</file>