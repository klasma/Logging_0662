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45625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45625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45625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37345-2019</t>
        </is>
      </c>
      <c r="B5" s="1" t="n">
        <v>43678</v>
      </c>
      <c r="C5" s="1" t="n">
        <v>45625</v>
      </c>
      <c r="D5" t="inlineStr">
        <is>
          <t>JÖNKÖPINGS LÄN</t>
        </is>
      </c>
      <c r="E5" t="inlineStr">
        <is>
          <t>GISLAVED</t>
        </is>
      </c>
      <c r="G5" t="n">
        <v>0.5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Sandödla</t>
        </is>
      </c>
      <c r="S5">
        <f>HYPERLINK("https://klasma.github.io/Logging_0662/artfynd/A 37345-2019 artfynd.xlsx", "A 37345-2019")</f>
        <v/>
      </c>
      <c r="T5">
        <f>HYPERLINK("https://klasma.github.io/Logging_0662/kartor/A 37345-2019 karta.png", "A 37345-2019")</f>
        <v/>
      </c>
      <c r="V5">
        <f>HYPERLINK("https://klasma.github.io/Logging_0662/klagomål/A 37345-2019 FSC-klagomål.docx", "A 37345-2019")</f>
        <v/>
      </c>
      <c r="W5">
        <f>HYPERLINK("https://klasma.github.io/Logging_0662/klagomålsmail/A 37345-2019 FSC-klagomål mail.docx", "A 37345-2019")</f>
        <v/>
      </c>
      <c r="X5">
        <f>HYPERLINK("https://klasma.github.io/Logging_0662/tillsyn/A 37345-2019 tillsynsbegäran.docx", "A 37345-2019")</f>
        <v/>
      </c>
      <c r="Y5">
        <f>HYPERLINK("https://klasma.github.io/Logging_0662/tillsynsmail/A 37345-2019 tillsynsbegäran mail.docx", "A 37345-2019")</f>
        <v/>
      </c>
    </row>
    <row r="6" ht="15" customHeight="1">
      <c r="A6" t="inlineStr">
        <is>
          <t>A 1319-2021</t>
        </is>
      </c>
      <c r="B6" s="1" t="n">
        <v>44208</v>
      </c>
      <c r="C6" s="1" t="n">
        <v>45625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HYPERLINK("https://klasma.github.io/Logging_0662/artfynd/A 1319-2021 artfynd.xlsx", "A 1319-2021")</f>
        <v/>
      </c>
      <c r="T6">
        <f>HYPERLINK("https://klasma.github.io/Logging_0662/kartor/A 1319-2021 karta.png", "A 1319-2021")</f>
        <v/>
      </c>
      <c r="V6">
        <f>HYPERLINK("https://klasma.github.io/Logging_0662/klagomål/A 1319-2021 FSC-klagomål.docx", "A 1319-2021")</f>
        <v/>
      </c>
      <c r="W6">
        <f>HYPERLINK("https://klasma.github.io/Logging_0662/klagomålsmail/A 1319-2021 FSC-klagomål mail.docx", "A 1319-2021")</f>
        <v/>
      </c>
      <c r="X6">
        <f>HYPERLINK("https://klasma.github.io/Logging_0662/tillsyn/A 1319-2021 tillsynsbegäran.docx", "A 1319-2021")</f>
        <v/>
      </c>
      <c r="Y6">
        <f>HYPERLINK("https://klasma.github.io/Logging_0662/tillsynsmail/A 1319-2021 tillsynsbegäran mail.docx", "A 1319-2021")</f>
        <v/>
      </c>
    </row>
    <row r="7" ht="15" customHeight="1">
      <c r="A7" t="inlineStr">
        <is>
          <t>A 69075-2021</t>
        </is>
      </c>
      <c r="B7" s="1" t="n">
        <v>44530</v>
      </c>
      <c r="C7" s="1" t="n">
        <v>45625</v>
      </c>
      <c r="D7" t="inlineStr">
        <is>
          <t>JÖNKÖPINGS LÄN</t>
        </is>
      </c>
      <c r="E7" t="inlineStr">
        <is>
          <t>GISLAVED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HYPERLINK("https://klasma.github.io/Logging_0662/artfynd/A 69075-2021 artfynd.xlsx", "A 69075-2021")</f>
        <v/>
      </c>
      <c r="T7">
        <f>HYPERLINK("https://klasma.github.io/Logging_0662/kartor/A 69075-2021 karta.png", "A 69075-2021")</f>
        <v/>
      </c>
      <c r="V7">
        <f>HYPERLINK("https://klasma.github.io/Logging_0662/klagomål/A 69075-2021 FSC-klagomål.docx", "A 69075-2021")</f>
        <v/>
      </c>
      <c r="W7">
        <f>HYPERLINK("https://klasma.github.io/Logging_0662/klagomålsmail/A 69075-2021 FSC-klagomål mail.docx", "A 69075-2021")</f>
        <v/>
      </c>
      <c r="X7">
        <f>HYPERLINK("https://klasma.github.io/Logging_0662/tillsyn/A 69075-2021 tillsynsbegäran.docx", "A 69075-2021")</f>
        <v/>
      </c>
      <c r="Y7">
        <f>HYPERLINK("https://klasma.github.io/Logging_0662/tillsynsmail/A 69075-2021 tillsynsbegäran mail.docx", "A 69075-2021")</f>
        <v/>
      </c>
    </row>
    <row r="8" ht="15" customHeight="1">
      <c r="A8" t="inlineStr">
        <is>
          <t>A 27358-2022</t>
        </is>
      </c>
      <c r="B8" s="1" t="n">
        <v>44742</v>
      </c>
      <c r="C8" s="1" t="n">
        <v>45625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HYPERLINK("https://klasma.github.io/Logging_0662/artfynd/A 27358-2022 artfynd.xlsx", "A 27358-2022")</f>
        <v/>
      </c>
      <c r="T8">
        <f>HYPERLINK("https://klasma.github.io/Logging_0662/kartor/A 27358-2022 karta.png", "A 27358-2022")</f>
        <v/>
      </c>
      <c r="V8">
        <f>HYPERLINK("https://klasma.github.io/Logging_0662/klagomål/A 27358-2022 FSC-klagomål.docx", "A 27358-2022")</f>
        <v/>
      </c>
      <c r="W8">
        <f>HYPERLINK("https://klasma.github.io/Logging_0662/klagomålsmail/A 27358-2022 FSC-klagomål mail.docx", "A 27358-2022")</f>
        <v/>
      </c>
      <c r="X8">
        <f>HYPERLINK("https://klasma.github.io/Logging_0662/tillsyn/A 27358-2022 tillsynsbegäran.docx", "A 27358-2022")</f>
        <v/>
      </c>
      <c r="Y8">
        <f>HYPERLINK("https://klasma.github.io/Logging_0662/tillsynsmail/A 27358-2022 tillsynsbegäran mail.docx", "A 27358-2022")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45625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62297-2022</t>
        </is>
      </c>
      <c r="B10" s="1" t="n">
        <v>44923</v>
      </c>
      <c r="C10" s="1" t="n">
        <v>45625</v>
      </c>
      <c r="D10" t="inlineStr">
        <is>
          <t>JÖNKÖPINGS LÄN</t>
        </is>
      </c>
      <c r="E10" t="inlineStr">
        <is>
          <t>GISLAVED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HYPERLINK("https://klasma.github.io/Logging_0662/artfynd/A 62297-2022 artfynd.xlsx", "A 62297-2022")</f>
        <v/>
      </c>
      <c r="T10">
        <f>HYPERLINK("https://klasma.github.io/Logging_0662/kartor/A 62297-2022 karta.png", "A 62297-2022")</f>
        <v/>
      </c>
      <c r="V10">
        <f>HYPERLINK("https://klasma.github.io/Logging_0662/klagomål/A 62297-2022 FSC-klagomål.docx", "A 62297-2022")</f>
        <v/>
      </c>
      <c r="W10">
        <f>HYPERLINK("https://klasma.github.io/Logging_0662/klagomålsmail/A 62297-2022 FSC-klagomål mail.docx", "A 62297-2022")</f>
        <v/>
      </c>
      <c r="X10">
        <f>HYPERLINK("https://klasma.github.io/Logging_0662/tillsyn/A 62297-2022 tillsynsbegäran.docx", "A 62297-2022")</f>
        <v/>
      </c>
      <c r="Y10">
        <f>HYPERLINK("https://klasma.github.io/Logging_0662/tillsynsmail/A 62297-2022 tillsynsbegäran mail.docx", "A 62297-2022")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45625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8486-2023</t>
        </is>
      </c>
      <c r="B12" s="1" t="n">
        <v>44977</v>
      </c>
      <c r="C12" s="1" t="n">
        <v>45625</v>
      </c>
      <c r="D12" t="inlineStr">
        <is>
          <t>JÖNKÖPINGS LÄN</t>
        </is>
      </c>
      <c r="E12" t="inlineStr">
        <is>
          <t>GISLAVED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HYPERLINK("https://klasma.github.io/Logging_0662/artfynd/A 8486-2023 artfynd.xlsx", "A 8486-2023")</f>
        <v/>
      </c>
      <c r="T12">
        <f>HYPERLINK("https://klasma.github.io/Logging_0662/kartor/A 8486-2023 karta.png", "A 8486-2023")</f>
        <v/>
      </c>
      <c r="V12">
        <f>HYPERLINK("https://klasma.github.io/Logging_0662/klagomål/A 8486-2023 FSC-klagomål.docx", "A 8486-2023")</f>
        <v/>
      </c>
      <c r="W12">
        <f>HYPERLINK("https://klasma.github.io/Logging_0662/klagomålsmail/A 8486-2023 FSC-klagomål mail.docx", "A 8486-2023")</f>
        <v/>
      </c>
      <c r="X12">
        <f>HYPERLINK("https://klasma.github.io/Logging_0662/tillsyn/A 8486-2023 tillsynsbegäran.docx", "A 8486-2023")</f>
        <v/>
      </c>
      <c r="Y12">
        <f>HYPERLINK("https://klasma.github.io/Logging_0662/tillsynsmail/A 8486-2023 tillsynsbegäran mail.docx", "A 8486-2023")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45625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22367-2023</t>
        </is>
      </c>
      <c r="B14" s="1" t="n">
        <v>45070</v>
      </c>
      <c r="C14" s="1" t="n">
        <v>45625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HYPERLINK("https://klasma.github.io/Logging_0662/artfynd/A 22367-2023 artfynd.xlsx", "A 22367-2023")</f>
        <v/>
      </c>
      <c r="T14">
        <f>HYPERLINK("https://klasma.github.io/Logging_0662/kartor/A 22367-2023 karta.png", "A 22367-2023")</f>
        <v/>
      </c>
      <c r="V14">
        <f>HYPERLINK("https://klasma.github.io/Logging_0662/klagomål/A 22367-2023 FSC-klagomål.docx", "A 22367-2023")</f>
        <v/>
      </c>
      <c r="W14">
        <f>HYPERLINK("https://klasma.github.io/Logging_0662/klagomålsmail/A 22367-2023 FSC-klagomål mail.docx", "A 22367-2023")</f>
        <v/>
      </c>
      <c r="X14">
        <f>HYPERLINK("https://klasma.github.io/Logging_0662/tillsyn/A 22367-2023 tillsynsbegäran.docx", "A 22367-2023")</f>
        <v/>
      </c>
      <c r="Y14">
        <f>HYPERLINK("https://klasma.github.io/Logging_0662/tillsynsmail/A 22367-2023 tillsynsbegäran mail.docx", "A 22367-2023")</f>
        <v/>
      </c>
    </row>
    <row r="15" ht="15" customHeight="1">
      <c r="A15" t="inlineStr">
        <is>
          <t>A 23694-2023</t>
        </is>
      </c>
      <c r="B15" s="1" t="n">
        <v>45077</v>
      </c>
      <c r="C15" s="1" t="n">
        <v>45625</v>
      </c>
      <c r="D15" t="inlineStr">
        <is>
          <t>JÖNKÖPINGS LÄN</t>
        </is>
      </c>
      <c r="E15" t="inlineStr">
        <is>
          <t>GISLAVED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HYPERLINK("https://klasma.github.io/Logging_0662/artfynd/A 23694-2023 artfynd.xlsx", "A 23694-2023")</f>
        <v/>
      </c>
      <c r="T15">
        <f>HYPERLINK("https://klasma.github.io/Logging_0662/kartor/A 23694-2023 karta.png", "A 23694-2023")</f>
        <v/>
      </c>
      <c r="V15">
        <f>HYPERLINK("https://klasma.github.io/Logging_0662/klagomål/A 23694-2023 FSC-klagomål.docx", "A 23694-2023")</f>
        <v/>
      </c>
      <c r="W15">
        <f>HYPERLINK("https://klasma.github.io/Logging_0662/klagomålsmail/A 23694-2023 FSC-klagomål mail.docx", "A 23694-2023")</f>
        <v/>
      </c>
      <c r="X15">
        <f>HYPERLINK("https://klasma.github.io/Logging_0662/tillsyn/A 23694-2023 tillsynsbegäran.docx", "A 23694-2023")</f>
        <v/>
      </c>
      <c r="Y15">
        <f>HYPERLINK("https://klasma.github.io/Logging_0662/tillsynsmail/A 23694-2023 tillsynsbegäran mail.docx", "A 23694-2023")</f>
        <v/>
      </c>
    </row>
    <row r="16" ht="15" customHeight="1">
      <c r="A16" t="inlineStr">
        <is>
          <t>A 11174-2024</t>
        </is>
      </c>
      <c r="B16" s="1" t="n">
        <v>45371</v>
      </c>
      <c r="C16" s="1" t="n">
        <v>45625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HYPERLINK("https://klasma.github.io/Logging_0662/artfynd/A 11174-2024 artfynd.xlsx", "A 11174-2024")</f>
        <v/>
      </c>
      <c r="T16">
        <f>HYPERLINK("https://klasma.github.io/Logging_0662/kartor/A 11174-2024 karta.png", "A 11174-2024")</f>
        <v/>
      </c>
      <c r="V16">
        <f>HYPERLINK("https://klasma.github.io/Logging_0662/klagomål/A 11174-2024 FSC-klagomål.docx", "A 11174-2024")</f>
        <v/>
      </c>
      <c r="W16">
        <f>HYPERLINK("https://klasma.github.io/Logging_0662/klagomålsmail/A 11174-2024 FSC-klagomål mail.docx", "A 11174-2024")</f>
        <v/>
      </c>
      <c r="X16">
        <f>HYPERLINK("https://klasma.github.io/Logging_0662/tillsyn/A 11174-2024 tillsynsbegäran.docx", "A 11174-2024")</f>
        <v/>
      </c>
      <c r="Y16">
        <f>HYPERLINK("https://klasma.github.io/Logging_0662/tillsynsmail/A 11174-2024 tillsynsbegäran mail.docx", "A 11174-2024")</f>
        <v/>
      </c>
    </row>
    <row r="17" ht="15" customHeight="1">
      <c r="A17" t="inlineStr">
        <is>
          <t>A 18423-2024</t>
        </is>
      </c>
      <c r="B17" s="1" t="n">
        <v>45425</v>
      </c>
      <c r="C17" s="1" t="n">
        <v>45625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17736-2019</t>
        </is>
      </c>
      <c r="B18" s="1" t="n">
        <v>43556</v>
      </c>
      <c r="C18" s="1" t="n">
        <v>45625</v>
      </c>
      <c r="D18" t="inlineStr">
        <is>
          <t>JÖNKÖPINGS LÄN</t>
        </is>
      </c>
      <c r="E18" t="inlineStr">
        <is>
          <t>GISLAVED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17727-2019</t>
        </is>
      </c>
      <c r="B19" s="1" t="n">
        <v>43556</v>
      </c>
      <c r="C19" s="1" t="n">
        <v>45625</v>
      </c>
      <c r="D19" t="inlineStr">
        <is>
          <t>JÖNKÖPINGS LÄN</t>
        </is>
      </c>
      <c r="E19" t="inlineStr">
        <is>
          <t>GISLAVED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17918-2019</t>
        </is>
      </c>
      <c r="B20" s="1" t="n">
        <v>43557</v>
      </c>
      <c r="C20" s="1" t="n">
        <v>45625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17903-2019</t>
        </is>
      </c>
      <c r="B21" s="1" t="n">
        <v>43557</v>
      </c>
      <c r="C21" s="1" t="n">
        <v>45625</v>
      </c>
      <c r="D21" t="inlineStr">
        <is>
          <t>JÖNKÖPINGS LÄN</t>
        </is>
      </c>
      <c r="E21" t="inlineStr">
        <is>
          <t>GISLAVED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18185-2019</t>
        </is>
      </c>
      <c r="B22" s="1" t="n">
        <v>43558</v>
      </c>
      <c r="C22" s="1" t="n">
        <v>45625</v>
      </c>
      <c r="D22" t="inlineStr">
        <is>
          <t>JÖNKÖPINGS LÄN</t>
        </is>
      </c>
      <c r="E22" t="inlineStr">
        <is>
          <t>GISLAVED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18491-2019</t>
        </is>
      </c>
      <c r="B23" s="1" t="n">
        <v>43558</v>
      </c>
      <c r="C23" s="1" t="n">
        <v>45625</v>
      </c>
      <c r="D23" t="inlineStr">
        <is>
          <t>JÖNKÖPINGS LÄN</t>
        </is>
      </c>
      <c r="E23" t="inlineStr">
        <is>
          <t>GISLAVED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18818-2019</t>
        </is>
      </c>
      <c r="B24" s="1" t="n">
        <v>43563</v>
      </c>
      <c r="C24" s="1" t="n">
        <v>45625</v>
      </c>
      <c r="D24" t="inlineStr">
        <is>
          <t>JÖNKÖPINGS LÄN</t>
        </is>
      </c>
      <c r="E24" t="inlineStr">
        <is>
          <t>GISLAVED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19673-2019</t>
        </is>
      </c>
      <c r="B25" s="1" t="n">
        <v>43566</v>
      </c>
      <c r="C25" s="1" t="n">
        <v>45625</v>
      </c>
      <c r="D25" t="inlineStr">
        <is>
          <t>JÖNKÖPINGS LÄN</t>
        </is>
      </c>
      <c r="E25" t="inlineStr">
        <is>
          <t>GISLAVED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19893-2019</t>
        </is>
      </c>
      <c r="B26" s="1" t="n">
        <v>43567</v>
      </c>
      <c r="C26" s="1" t="n">
        <v>45625</v>
      </c>
      <c r="D26" t="inlineStr">
        <is>
          <t>JÖNKÖPINGS LÄN</t>
        </is>
      </c>
      <c r="E26" t="inlineStr">
        <is>
          <t>GISLAVED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20241-2019</t>
        </is>
      </c>
      <c r="B27" s="1" t="n">
        <v>43567</v>
      </c>
      <c r="C27" s="1" t="n">
        <v>45625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21214-2019</t>
        </is>
      </c>
      <c r="B28" s="1" t="n">
        <v>43579</v>
      </c>
      <c r="C28" s="1" t="n">
        <v>45625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21221-2019</t>
        </is>
      </c>
      <c r="B29" s="1" t="n">
        <v>43579</v>
      </c>
      <c r="C29" s="1" t="n">
        <v>45625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22078-2019</t>
        </is>
      </c>
      <c r="B30" s="1" t="n">
        <v>43584</v>
      </c>
      <c r="C30" s="1" t="n">
        <v>45625</v>
      </c>
      <c r="D30" t="inlineStr">
        <is>
          <t>JÖNKÖPINGS LÄN</t>
        </is>
      </c>
      <c r="E30" t="inlineStr">
        <is>
          <t>GISLAVED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22475-2019</t>
        </is>
      </c>
      <c r="B31" s="1" t="n">
        <v>43587</v>
      </c>
      <c r="C31" s="1" t="n">
        <v>45625</v>
      </c>
      <c r="D31" t="inlineStr">
        <is>
          <t>JÖNKÖPINGS LÄN</t>
        </is>
      </c>
      <c r="E31" t="inlineStr">
        <is>
          <t>GISLAVED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22476-2019</t>
        </is>
      </c>
      <c r="B32" s="1" t="n">
        <v>43587</v>
      </c>
      <c r="C32" s="1" t="n">
        <v>45625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24223-2019</t>
        </is>
      </c>
      <c r="B33" s="1" t="n">
        <v>43599</v>
      </c>
      <c r="C33" s="1" t="n">
        <v>45625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24471-2019</t>
        </is>
      </c>
      <c r="B34" s="1" t="n">
        <v>43600</v>
      </c>
      <c r="C34" s="1" t="n">
        <v>45625</v>
      </c>
      <c r="D34" t="inlineStr">
        <is>
          <t>JÖNKÖPINGS LÄN</t>
        </is>
      </c>
      <c r="E34" t="inlineStr">
        <is>
          <t>GISLAVED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24997-2019</t>
        </is>
      </c>
      <c r="B35" s="1" t="n">
        <v>43602</v>
      </c>
      <c r="C35" s="1" t="n">
        <v>45625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25093-2019</t>
        </is>
      </c>
      <c r="B36" s="1" t="n">
        <v>43605</v>
      </c>
      <c r="C36" s="1" t="n">
        <v>45625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25263-2019</t>
        </is>
      </c>
      <c r="B37" s="1" t="n">
        <v>43605</v>
      </c>
      <c r="C37" s="1" t="n">
        <v>45625</v>
      </c>
      <c r="D37" t="inlineStr">
        <is>
          <t>JÖNKÖPINGS LÄN</t>
        </is>
      </c>
      <c r="E37" t="inlineStr">
        <is>
          <t>GISLAVED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26735-2019</t>
        </is>
      </c>
      <c r="B38" s="1" t="n">
        <v>43607</v>
      </c>
      <c r="C38" s="1" t="n">
        <v>45625</v>
      </c>
      <c r="D38" t="inlineStr">
        <is>
          <t>JÖNKÖPINGS LÄN</t>
        </is>
      </c>
      <c r="E38" t="inlineStr">
        <is>
          <t>GISLAVED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27731-2019</t>
        </is>
      </c>
      <c r="B39" s="1" t="n">
        <v>43612</v>
      </c>
      <c r="C39" s="1" t="n">
        <v>45625</v>
      </c>
      <c r="D39" t="inlineStr">
        <is>
          <t>JÖNKÖPINGS LÄN</t>
        </is>
      </c>
      <c r="E39" t="inlineStr">
        <is>
          <t>GISLAVED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27734-2019</t>
        </is>
      </c>
      <c r="B40" s="1" t="n">
        <v>43612</v>
      </c>
      <c r="C40" s="1" t="n">
        <v>45625</v>
      </c>
      <c r="D40" t="inlineStr">
        <is>
          <t>JÖNKÖPINGS LÄN</t>
        </is>
      </c>
      <c r="E40" t="inlineStr">
        <is>
          <t>GISLAVED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27565-2019</t>
        </is>
      </c>
      <c r="B41" s="1" t="n">
        <v>43619</v>
      </c>
      <c r="C41" s="1" t="n">
        <v>45625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28304-2019</t>
        </is>
      </c>
      <c r="B42" s="1" t="n">
        <v>43623</v>
      </c>
      <c r="C42" s="1" t="n">
        <v>45625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29962-2019</t>
        </is>
      </c>
      <c r="B43" s="1" t="n">
        <v>43633</v>
      </c>
      <c r="C43" s="1" t="n">
        <v>45625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30239-2019</t>
        </is>
      </c>
      <c r="B44" s="1" t="n">
        <v>43634</v>
      </c>
      <c r="C44" s="1" t="n">
        <v>45625</v>
      </c>
      <c r="D44" t="inlineStr">
        <is>
          <t>JÖNKÖPINGS LÄN</t>
        </is>
      </c>
      <c r="E44" t="inlineStr">
        <is>
          <t>GISLAVED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31410-2019</t>
        </is>
      </c>
      <c r="B45" s="1" t="n">
        <v>43641</v>
      </c>
      <c r="C45" s="1" t="n">
        <v>45625</v>
      </c>
      <c r="D45" t="inlineStr">
        <is>
          <t>JÖNKÖPINGS LÄN</t>
        </is>
      </c>
      <c r="E45" t="inlineStr">
        <is>
          <t>GISLAVED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32181-2019</t>
        </is>
      </c>
      <c r="B46" s="1" t="n">
        <v>43643</v>
      </c>
      <c r="C46" s="1" t="n">
        <v>45625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32953-2019</t>
        </is>
      </c>
      <c r="B47" s="1" t="n">
        <v>43648</v>
      </c>
      <c r="C47" s="1" t="n">
        <v>45625</v>
      </c>
      <c r="D47" t="inlineStr">
        <is>
          <t>JÖNKÖPINGS LÄN</t>
        </is>
      </c>
      <c r="E47" t="inlineStr">
        <is>
          <t>GISLAVED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33293-2019</t>
        </is>
      </c>
      <c r="B48" s="1" t="n">
        <v>43650</v>
      </c>
      <c r="C48" s="1" t="n">
        <v>45625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33329-2019</t>
        </is>
      </c>
      <c r="B49" s="1" t="n">
        <v>43650</v>
      </c>
      <c r="C49" s="1" t="n">
        <v>45625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33288-2019</t>
        </is>
      </c>
      <c r="B50" s="1" t="n">
        <v>43650</v>
      </c>
      <c r="C50" s="1" t="n">
        <v>45625</v>
      </c>
      <c r="D50" t="inlineStr">
        <is>
          <t>JÖNKÖPINGS LÄN</t>
        </is>
      </c>
      <c r="E50" t="inlineStr">
        <is>
          <t>GISLAVED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33325-2019</t>
        </is>
      </c>
      <c r="B51" s="1" t="n">
        <v>43650</v>
      </c>
      <c r="C51" s="1" t="n">
        <v>45625</v>
      </c>
      <c r="D51" t="inlineStr">
        <is>
          <t>JÖNKÖPINGS LÄN</t>
        </is>
      </c>
      <c r="E51" t="inlineStr">
        <is>
          <t>GISLAVED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33351-2019</t>
        </is>
      </c>
      <c r="B52" s="1" t="n">
        <v>43650</v>
      </c>
      <c r="C52" s="1" t="n">
        <v>45625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33982-2019</t>
        </is>
      </c>
      <c r="B53" s="1" t="n">
        <v>43654</v>
      </c>
      <c r="C53" s="1" t="n">
        <v>45625</v>
      </c>
      <c r="D53" t="inlineStr">
        <is>
          <t>JÖNKÖPINGS LÄN</t>
        </is>
      </c>
      <c r="E53" t="inlineStr">
        <is>
          <t>GISLAVED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34387-2019</t>
        </is>
      </c>
      <c r="B54" s="1" t="n">
        <v>43656</v>
      </c>
      <c r="C54" s="1" t="n">
        <v>45625</v>
      </c>
      <c r="D54" t="inlineStr">
        <is>
          <t>JÖNKÖPINGS LÄN</t>
        </is>
      </c>
      <c r="E54" t="inlineStr">
        <is>
          <t>GISLAVED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34642-2019</t>
        </is>
      </c>
      <c r="B55" s="1" t="n">
        <v>43657</v>
      </c>
      <c r="C55" s="1" t="n">
        <v>45625</v>
      </c>
      <c r="D55" t="inlineStr">
        <is>
          <t>JÖNKÖPINGS LÄN</t>
        </is>
      </c>
      <c r="E55" t="inlineStr">
        <is>
          <t>GISLAVED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35411-2019</t>
        </is>
      </c>
      <c r="B56" s="1" t="n">
        <v>43663</v>
      </c>
      <c r="C56" s="1" t="n">
        <v>45625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35574-2019</t>
        </is>
      </c>
      <c r="B57" s="1" t="n">
        <v>43664</v>
      </c>
      <c r="C57" s="1" t="n">
        <v>45625</v>
      </c>
      <c r="D57" t="inlineStr">
        <is>
          <t>JÖNKÖPINGS LÄN</t>
        </is>
      </c>
      <c r="E57" t="inlineStr">
        <is>
          <t>GISLAVED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35618-2019</t>
        </is>
      </c>
      <c r="B58" s="1" t="n">
        <v>43664</v>
      </c>
      <c r="C58" s="1" t="n">
        <v>45625</v>
      </c>
      <c r="D58" t="inlineStr">
        <is>
          <t>JÖNKÖPINGS LÄN</t>
        </is>
      </c>
      <c r="E58" t="inlineStr">
        <is>
          <t>GISLAVED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45625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45625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45625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45625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45625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45625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45625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45625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45625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45625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45625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45625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45625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45625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45625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45625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45625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45625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45625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45625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45625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45625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45625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45625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45625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45625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45625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45625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45625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45625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45625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45625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45625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45625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45625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45625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45625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45625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45625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45625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45625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45625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45625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45625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45625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45625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45625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45625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45625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45625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45625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45625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45625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45625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45625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45625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45625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45625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45625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45625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45625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45625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45625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45625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45625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45625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45625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45625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45625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45625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45625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45625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45625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45625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45625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45625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45625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45625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45625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45625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45625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45625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45625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45625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45625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45625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45625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45625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45625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45625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45625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45625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45625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45625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45625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45625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45625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45625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45625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45625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45625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45625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45625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45625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45625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45625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45625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45625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45625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45625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45625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45625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45625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45625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45625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45625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45625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45625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45625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45625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45625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45625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45625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45625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45625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45625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45625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45625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45625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45625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45625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45625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45625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45625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45625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45625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45625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45625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45625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45625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45625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45625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45625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45625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45625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45625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45625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45625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45625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45625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45625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45625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45625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45625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45625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45625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45625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45625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45625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45625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45625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45625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45625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45625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45625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45625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45625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45625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45625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45625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45625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45625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45625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45625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45625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45625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45625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45625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45625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45625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45625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45625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45625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45625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45625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45625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45625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45625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45625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45625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45625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45625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45625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45625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45625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45625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45625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45625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45625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45625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45625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45625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45625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45625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45625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45625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45625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45625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45625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45625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45625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45625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45625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45625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45625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45625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45625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45625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45625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45625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45625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45625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45625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45625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45625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45625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45625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45625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45625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45625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45625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45625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45625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45625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45625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45625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45625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45625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45625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45625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45625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45625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45625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45625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45625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45625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45625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45625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45625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45625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45625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45625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45625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45625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45625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45625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45625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45625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45625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45625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45625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45625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45625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45625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45625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45625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45625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45625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45625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45625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45625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45625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45625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45625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45625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45625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45625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45625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45625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45625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45625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45625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45625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45625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45625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45625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45625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45625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45625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45625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45625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45625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45625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45625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45625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45625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45625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45625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45625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45625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45625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45625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45625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45625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45625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45625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45625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45625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45625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45625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45625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45625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45625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45625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45625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45625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45625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45625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45625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45625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45625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45625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45625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45625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45625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45625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45625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45625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45625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45625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45625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45625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45625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45625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45625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45625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45625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45625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45625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45625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45625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45625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45625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45625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45625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45625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45625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45625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45625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45625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45625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45625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45625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45625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45625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45625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45625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45625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45625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45625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45625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45625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45625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45625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45625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45625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45625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45625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45625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45625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45625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45625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45625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45625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45625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45625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45625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45625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45625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45625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45625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45625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45625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45625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45625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45625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45625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45625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45625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45625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45625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45625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45625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45625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45625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45625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45625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45625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45625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45625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45625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45625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45625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45625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45625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45625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45625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45625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45625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45625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45625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45625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45625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45625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45625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45625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45625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45625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45625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45625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45625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45625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45625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45625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45625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45625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45625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45625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45625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45625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45625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45625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45625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45625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45625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45625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45625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45625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45625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45625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45625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45625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45625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45625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45625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45625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45625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45625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45625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45625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45625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45625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45625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45625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45625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45625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45625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45625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45625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45625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45625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45625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45625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45625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45625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45625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45625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45625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45625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45625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45625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45625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45625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45625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45625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45625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45625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45625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45625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45625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45625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45625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45625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45625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45625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45625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45625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45625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45625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45625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45625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45625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45625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45625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45625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45625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45625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45625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45625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45625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45625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45625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45625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45625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45625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45625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45625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45625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45625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45625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45625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45625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45625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45625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45625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45625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45625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45625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45625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45625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45625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45625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45625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45625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45625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45625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45625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45625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45625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45625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45625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45625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45625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45625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45625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45625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45625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45625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45625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45625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45625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45625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45625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45625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45625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45625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45625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45625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45625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45625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45625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45625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45625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45625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45625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45625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45625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45625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45625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45625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45625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45625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45625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45625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45625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45625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45625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45625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45625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45625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45625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45625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45625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45625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45625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45625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45625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45625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45625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45625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45625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45625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45625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45625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45625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45625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45625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45625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45625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45625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45625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45625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45625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45625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45625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45625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45625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45625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45625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45625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45625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45625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45625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45625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45625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45625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45625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45625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45625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45625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45625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45625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45625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45625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45625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45625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45625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45625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45625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45625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45625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45625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45625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45625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45625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45625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45625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45625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45625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45625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45625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45625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45625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45625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45625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45625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45625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45625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45625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45625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45625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45625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45625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45625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45625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45625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45625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45625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45625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45625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45625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45625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45625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45625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45625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45625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45625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45625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45625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45625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45625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45625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45625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45625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45625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45625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45625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45625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45625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45625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45625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45625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45625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45625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45625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45625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45625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45625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45625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45625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45625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45625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45625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45625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45625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45625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45625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45625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45625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45625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45625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45625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45625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45625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45625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45625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45625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45625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45625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45625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45625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45625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45625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45625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45625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45625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45625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45625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45625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45625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45625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45625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45625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45625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45625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45625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45625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45625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45625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45625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45625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45625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45625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45625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45625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45625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45625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45625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45625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45625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45625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45625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45625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45625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45625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45625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45625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45625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45625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45625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45625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45625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45625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45625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45625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45625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45625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45625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45625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45625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45625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45625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45625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45625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45625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45625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45625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45625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45625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45625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45625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45625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45625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45625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45625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45625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45625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45625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45625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45625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45625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45625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45625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45625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45625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45625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45625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45625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45625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45625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45625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45625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45625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45625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45625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45625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45625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45625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45625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45625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45625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45625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45625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45625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45625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45625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45625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45625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45625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45625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45625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45625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45625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45625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45625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45625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45625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45625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45625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45625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45625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45625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45625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45625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45625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45625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45625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45625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45625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45625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45625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45625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45625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45625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45625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45625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45625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45625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45625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45625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45625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45625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45625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45625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45625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45625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45625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45625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45625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45625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45625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45625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45625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45625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45625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45625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45625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45625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45625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45625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45625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45625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45625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45625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45625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45625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45625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45625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45625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45625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45625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45625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45625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45625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45625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45625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45625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45625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45625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45625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45625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45625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45625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45625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45625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45625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45625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45625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45625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45625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45625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45625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45625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45625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45625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45625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45625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45625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45625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45625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45625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45625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45625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45625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45625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45625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45625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45625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45625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45625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45625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45625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45625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45625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45625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45625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45625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45625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45625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45625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45625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45625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45625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45625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45625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45625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45625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45625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45625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45625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45625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45625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45625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45625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45625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45625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45625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45625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45625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45625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45625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45625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45625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45625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45625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45625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45625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45625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45625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45625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45625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45625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45625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45625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45625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45625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45625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45625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45625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45625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45625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45625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45625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45625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45625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45625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45625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45625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45625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45625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45625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45625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45625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45625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45625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45625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45625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45625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45625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45625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45625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45625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45625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45625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45625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45625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45625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45625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45625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45625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45625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45625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45625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45625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45625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45625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45625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45625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45625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45625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45625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45625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45625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45625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45625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45625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45625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45625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45625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45625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45625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45625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45625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45625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45625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45625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45625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49454-2024</t>
        </is>
      </c>
      <c r="B1066" s="1" t="n">
        <v>45596</v>
      </c>
      <c r="C1066" s="1" t="n">
        <v>45625</v>
      </c>
      <c r="D1066" t="inlineStr">
        <is>
          <t>JÖNKÖPINGS LÄN</t>
        </is>
      </c>
      <c r="E1066" t="inlineStr">
        <is>
          <t>GISLAVED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49463-2024</t>
        </is>
      </c>
      <c r="B1067" s="1" t="n">
        <v>45596</v>
      </c>
      <c r="C1067" s="1" t="n">
        <v>45625</v>
      </c>
      <c r="D1067" t="inlineStr">
        <is>
          <t>JÖNKÖPINGS LÄN</t>
        </is>
      </c>
      <c r="E1067" t="inlineStr">
        <is>
          <t>GISLAVED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49453-2024</t>
        </is>
      </c>
      <c r="B1068" s="1" t="n">
        <v>45596</v>
      </c>
      <c r="C1068" s="1" t="n">
        <v>45625</v>
      </c>
      <c r="D1068" t="inlineStr">
        <is>
          <t>JÖNKÖPINGS LÄN</t>
        </is>
      </c>
      <c r="E1068" t="inlineStr">
        <is>
          <t>GISLAVED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45625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45625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45625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45625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45625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51119-2024</t>
        </is>
      </c>
      <c r="B1074" s="1" t="n">
        <v>45603</v>
      </c>
      <c r="C1074" s="1" t="n">
        <v>45625</v>
      </c>
      <c r="D1074" t="inlineStr">
        <is>
          <t>JÖNKÖPINGS LÄN</t>
        </is>
      </c>
      <c r="E1074" t="inlineStr">
        <is>
          <t>GISLAVED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51123-2024</t>
        </is>
      </c>
      <c r="B1075" s="1" t="n">
        <v>45603</v>
      </c>
      <c r="C1075" s="1" t="n">
        <v>45625</v>
      </c>
      <c r="D1075" t="inlineStr">
        <is>
          <t>JÖNKÖPINGS LÄN</t>
        </is>
      </c>
      <c r="E1075" t="inlineStr">
        <is>
          <t>GISLAVED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51087-2024</t>
        </is>
      </c>
      <c r="B1076" s="1" t="n">
        <v>45603</v>
      </c>
      <c r="C1076" s="1" t="n">
        <v>45625</v>
      </c>
      <c r="D1076" t="inlineStr">
        <is>
          <t>JÖNKÖPINGS LÄN</t>
        </is>
      </c>
      <c r="E1076" t="inlineStr">
        <is>
          <t>GISLAVED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51099-2024</t>
        </is>
      </c>
      <c r="B1077" s="1" t="n">
        <v>45603</v>
      </c>
      <c r="C1077" s="1" t="n">
        <v>45625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51093-2024</t>
        </is>
      </c>
      <c r="B1078" s="1" t="n">
        <v>45603</v>
      </c>
      <c r="C1078" s="1" t="n">
        <v>45625</v>
      </c>
      <c r="D1078" t="inlineStr">
        <is>
          <t>JÖNKÖPINGS LÄN</t>
        </is>
      </c>
      <c r="E1078" t="inlineStr">
        <is>
          <t>GISLAVED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51114-2024</t>
        </is>
      </c>
      <c r="B1079" s="1" t="n">
        <v>45603</v>
      </c>
      <c r="C1079" s="1" t="n">
        <v>45625</v>
      </c>
      <c r="D1079" t="inlineStr">
        <is>
          <t>JÖNKÖPINGS LÄN</t>
        </is>
      </c>
      <c r="E1079" t="inlineStr">
        <is>
          <t>GISLAVED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45625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51800-2024</t>
        </is>
      </c>
      <c r="B1081" s="1" t="n">
        <v>45607</v>
      </c>
      <c r="C1081" s="1" t="n">
        <v>45625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51835-2024</t>
        </is>
      </c>
      <c r="B1082" s="1" t="n">
        <v>45607</v>
      </c>
      <c r="C1082" s="1" t="n">
        <v>45625</v>
      </c>
      <c r="D1082" t="inlineStr">
        <is>
          <t>JÖNKÖPINGS LÄN</t>
        </is>
      </c>
      <c r="E1082" t="inlineStr">
        <is>
          <t>GISLAVED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45625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45625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45625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45625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45625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45625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45625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45625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45625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45625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45625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45625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52978-2024</t>
        </is>
      </c>
      <c r="B1095" s="1" t="n">
        <v>45611</v>
      </c>
      <c r="C1095" s="1" t="n">
        <v>45625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45625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52993-2024</t>
        </is>
      </c>
      <c r="B1097" s="1" t="n">
        <v>45611</v>
      </c>
      <c r="C1097" s="1" t="n">
        <v>45625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45625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45625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53258-2024</t>
        </is>
      </c>
      <c r="B1100" s="1" t="n">
        <v>45614</v>
      </c>
      <c r="C1100" s="1" t="n">
        <v>45625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45625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53646-2024</t>
        </is>
      </c>
      <c r="B1102" s="1" t="n">
        <v>45615</v>
      </c>
      <c r="C1102" s="1" t="n">
        <v>45625</v>
      </c>
      <c r="D1102" t="inlineStr">
        <is>
          <t>JÖNKÖPINGS LÄN</t>
        </is>
      </c>
      <c r="E1102" t="inlineStr">
        <is>
          <t>GISLAVED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45625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45625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45625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45625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45625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55394-2024</t>
        </is>
      </c>
      <c r="B1108" s="1" t="n">
        <v>45622</v>
      </c>
      <c r="C1108" s="1" t="n">
        <v>45625</v>
      </c>
      <c r="D1108" t="inlineStr">
        <is>
          <t>JÖNKÖPINGS LÄN</t>
        </is>
      </c>
      <c r="E1108" t="inlineStr">
        <is>
          <t>GISLAVED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55391-2024</t>
        </is>
      </c>
      <c r="B1109" s="1" t="n">
        <v>45622</v>
      </c>
      <c r="C1109" s="1" t="n">
        <v>45625</v>
      </c>
      <c r="D1109" t="inlineStr">
        <is>
          <t>JÖNKÖPINGS LÄN</t>
        </is>
      </c>
      <c r="E1109" t="inlineStr">
        <is>
          <t>GISLAVED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45625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45625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56319-2024</t>
        </is>
      </c>
      <c r="B1112" s="1" t="n">
        <v>45624</v>
      </c>
      <c r="C1112" s="1" t="n">
        <v>45625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2024-11-29T15:03:18Z</dcterms:created>
  <dcterms:modified xmlns:dcterms="http://purl.org/dc/terms/" xmlns:xsi="http://www.w3.org/2001/XMLSchema-instance" xsi:type="dcterms:W3CDTF">2024-11-29T15:03:19Z</dcterms:modified>
</cp:coreProperties>
</file>