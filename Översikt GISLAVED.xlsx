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45510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45510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45510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1319-2021</t>
        </is>
      </c>
      <c r="B5" s="1" t="n">
        <v>44208</v>
      </c>
      <c r="C5" s="1" t="n">
        <v>45510</v>
      </c>
      <c r="D5" t="inlineStr">
        <is>
          <t>JÖNKÖPINGS LÄN</t>
        </is>
      </c>
      <c r="E5" t="inlineStr">
        <is>
          <t>GISLAVED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Backtimjan</t>
        </is>
      </c>
      <c r="S5">
        <f>HYPERLINK("https://klasma.github.io/Logging_0662/artfynd/A 1319-2021 artfynd.xlsx", "A 1319-2021")</f>
        <v/>
      </c>
      <c r="T5">
        <f>HYPERLINK("https://klasma.github.io/Logging_0662/kartor/A 1319-2021 karta.png", "A 1319-2021")</f>
        <v/>
      </c>
      <c r="V5">
        <f>HYPERLINK("https://klasma.github.io/Logging_0662/klagomål/A 1319-2021 FSC-klagomål.docx", "A 1319-2021")</f>
        <v/>
      </c>
      <c r="W5">
        <f>HYPERLINK("https://klasma.github.io/Logging_0662/klagomålsmail/A 1319-2021 FSC-klagomål mail.docx", "A 1319-2021")</f>
        <v/>
      </c>
      <c r="X5">
        <f>HYPERLINK("https://klasma.github.io/Logging_0662/tillsyn/A 1319-2021 tillsynsbegäran.docx", "A 1319-2021")</f>
        <v/>
      </c>
      <c r="Y5">
        <f>HYPERLINK("https://klasma.github.io/Logging_0662/tillsynsmail/A 1319-2021 tillsynsbegäran mail.docx", "A 1319-2021")</f>
        <v/>
      </c>
    </row>
    <row r="6" ht="15" customHeight="1">
      <c r="A6" t="inlineStr">
        <is>
          <t>A 69075-2021</t>
        </is>
      </c>
      <c r="B6" s="1" t="n">
        <v>44530</v>
      </c>
      <c r="C6" s="1" t="n">
        <v>45510</v>
      </c>
      <c r="D6" t="inlineStr">
        <is>
          <t>JÖNKÖPINGS LÄN</t>
        </is>
      </c>
      <c r="E6" t="inlineStr">
        <is>
          <t>GISLAVED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HYPERLINK("https://klasma.github.io/Logging_0662/artfynd/A 69075-2021 artfynd.xlsx", "A 69075-2021")</f>
        <v/>
      </c>
      <c r="T6">
        <f>HYPERLINK("https://klasma.github.io/Logging_0662/kartor/A 69075-2021 karta.png", "A 69075-2021")</f>
        <v/>
      </c>
      <c r="V6">
        <f>HYPERLINK("https://klasma.github.io/Logging_0662/klagomål/A 69075-2021 FSC-klagomål.docx", "A 69075-2021")</f>
        <v/>
      </c>
      <c r="W6">
        <f>HYPERLINK("https://klasma.github.io/Logging_0662/klagomålsmail/A 69075-2021 FSC-klagomål mail.docx", "A 69075-2021")</f>
        <v/>
      </c>
      <c r="X6">
        <f>HYPERLINK("https://klasma.github.io/Logging_0662/tillsyn/A 69075-2021 tillsynsbegäran.docx", "A 69075-2021")</f>
        <v/>
      </c>
      <c r="Y6">
        <f>HYPERLINK("https://klasma.github.io/Logging_0662/tillsynsmail/A 69075-2021 tillsynsbegäran mail.docx", "A 69075-2021")</f>
        <v/>
      </c>
    </row>
    <row r="7" ht="15" customHeight="1">
      <c r="A7" t="inlineStr">
        <is>
          <t>A 27358-2022</t>
        </is>
      </c>
      <c r="B7" s="1" t="n">
        <v>44742</v>
      </c>
      <c r="C7" s="1" t="n">
        <v>45510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HYPERLINK("https://klasma.github.io/Logging_0662/artfynd/A 27358-2022 artfynd.xlsx", "A 27358-2022")</f>
        <v/>
      </c>
      <c r="T7">
        <f>HYPERLINK("https://klasma.github.io/Logging_0662/kartor/A 27358-2022 karta.png", "A 27358-2022")</f>
        <v/>
      </c>
      <c r="V7">
        <f>HYPERLINK("https://klasma.github.io/Logging_0662/klagomål/A 27358-2022 FSC-klagomål.docx", "A 27358-2022")</f>
        <v/>
      </c>
      <c r="W7">
        <f>HYPERLINK("https://klasma.github.io/Logging_0662/klagomålsmail/A 27358-2022 FSC-klagomål mail.docx", "A 27358-2022")</f>
        <v/>
      </c>
      <c r="X7">
        <f>HYPERLINK("https://klasma.github.io/Logging_0662/tillsyn/A 27358-2022 tillsynsbegäran.docx", "A 27358-2022")</f>
        <v/>
      </c>
      <c r="Y7">
        <f>HYPERLINK("https://klasma.github.io/Logging_0662/tillsynsmail/A 27358-2022 tillsynsbegäran mail.docx", "A 27358-2022")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45510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62297-2022</t>
        </is>
      </c>
      <c r="B9" s="1" t="n">
        <v>44923</v>
      </c>
      <c r="C9" s="1" t="n">
        <v>45510</v>
      </c>
      <c r="D9" t="inlineStr">
        <is>
          <t>JÖNKÖPINGS LÄN</t>
        </is>
      </c>
      <c r="E9" t="inlineStr">
        <is>
          <t>GISLAVED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HYPERLINK("https://klasma.github.io/Logging_0662/artfynd/A 62297-2022 artfynd.xlsx", "A 62297-2022")</f>
        <v/>
      </c>
      <c r="T9">
        <f>HYPERLINK("https://klasma.github.io/Logging_0662/kartor/A 62297-2022 karta.png", "A 62297-2022")</f>
        <v/>
      </c>
      <c r="V9">
        <f>HYPERLINK("https://klasma.github.io/Logging_0662/klagomål/A 62297-2022 FSC-klagomål.docx", "A 62297-2022")</f>
        <v/>
      </c>
      <c r="W9">
        <f>HYPERLINK("https://klasma.github.io/Logging_0662/klagomålsmail/A 62297-2022 FSC-klagomål mail.docx", "A 62297-2022")</f>
        <v/>
      </c>
      <c r="X9">
        <f>HYPERLINK("https://klasma.github.io/Logging_0662/tillsyn/A 62297-2022 tillsynsbegäran.docx", "A 62297-2022")</f>
        <v/>
      </c>
      <c r="Y9">
        <f>HYPERLINK("https://klasma.github.io/Logging_0662/tillsynsmail/A 62297-2022 tillsynsbegäran mail.docx", "A 62297-2022")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45510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8486-2023</t>
        </is>
      </c>
      <c r="B11" s="1" t="n">
        <v>44977</v>
      </c>
      <c r="C11" s="1" t="n">
        <v>45510</v>
      </c>
      <c r="D11" t="inlineStr">
        <is>
          <t>JÖNKÖPINGS LÄN</t>
        </is>
      </c>
      <c r="E11" t="inlineStr">
        <is>
          <t>GISLAVED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HYPERLINK("https://klasma.github.io/Logging_0662/artfynd/A 8486-2023 artfynd.xlsx", "A 8486-2023")</f>
        <v/>
      </c>
      <c r="T11">
        <f>HYPERLINK("https://klasma.github.io/Logging_0662/kartor/A 8486-2023 karta.png", "A 8486-2023")</f>
        <v/>
      </c>
      <c r="V11">
        <f>HYPERLINK("https://klasma.github.io/Logging_0662/klagomål/A 8486-2023 FSC-klagomål.docx", "A 8486-2023")</f>
        <v/>
      </c>
      <c r="W11">
        <f>HYPERLINK("https://klasma.github.io/Logging_0662/klagomålsmail/A 8486-2023 FSC-klagomål mail.docx", "A 8486-2023")</f>
        <v/>
      </c>
      <c r="X11">
        <f>HYPERLINK("https://klasma.github.io/Logging_0662/tillsyn/A 8486-2023 tillsynsbegäran.docx", "A 8486-2023")</f>
        <v/>
      </c>
      <c r="Y11">
        <f>HYPERLINK("https://klasma.github.io/Logging_0662/tillsynsmail/A 8486-2023 tillsynsbegäran mail.docx", "A 8486-2023")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45510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22367-2023</t>
        </is>
      </c>
      <c r="B13" s="1" t="n">
        <v>45070</v>
      </c>
      <c r="C13" s="1" t="n">
        <v>45510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HYPERLINK("https://klasma.github.io/Logging_0662/artfynd/A 22367-2023 artfynd.xlsx", "A 22367-2023")</f>
        <v/>
      </c>
      <c r="T13">
        <f>HYPERLINK("https://klasma.github.io/Logging_0662/kartor/A 22367-2023 karta.png", "A 22367-2023")</f>
        <v/>
      </c>
      <c r="V13">
        <f>HYPERLINK("https://klasma.github.io/Logging_0662/klagomål/A 22367-2023 FSC-klagomål.docx", "A 22367-2023")</f>
        <v/>
      </c>
      <c r="W13">
        <f>HYPERLINK("https://klasma.github.io/Logging_0662/klagomålsmail/A 22367-2023 FSC-klagomål mail.docx", "A 22367-2023")</f>
        <v/>
      </c>
      <c r="X13">
        <f>HYPERLINK("https://klasma.github.io/Logging_0662/tillsyn/A 22367-2023 tillsynsbegäran.docx", "A 22367-2023")</f>
        <v/>
      </c>
      <c r="Y13">
        <f>HYPERLINK("https://klasma.github.io/Logging_0662/tillsynsmail/A 22367-2023 tillsynsbegäran mail.docx", "A 22367-2023")</f>
        <v/>
      </c>
    </row>
    <row r="14" ht="15" customHeight="1">
      <c r="A14" t="inlineStr">
        <is>
          <t>A 23694-2023</t>
        </is>
      </c>
      <c r="B14" s="1" t="n">
        <v>45077</v>
      </c>
      <c r="C14" s="1" t="n">
        <v>45510</v>
      </c>
      <c r="D14" t="inlineStr">
        <is>
          <t>JÖNKÖPINGS LÄN</t>
        </is>
      </c>
      <c r="E14" t="inlineStr">
        <is>
          <t>GISLAVED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HYPERLINK("https://klasma.github.io/Logging_0662/artfynd/A 23694-2023 artfynd.xlsx", "A 23694-2023")</f>
        <v/>
      </c>
      <c r="T14">
        <f>HYPERLINK("https://klasma.github.io/Logging_0662/kartor/A 23694-2023 karta.png", "A 23694-2023")</f>
        <v/>
      </c>
      <c r="V14">
        <f>HYPERLINK("https://klasma.github.io/Logging_0662/klagomål/A 23694-2023 FSC-klagomål.docx", "A 23694-2023")</f>
        <v/>
      </c>
      <c r="W14">
        <f>HYPERLINK("https://klasma.github.io/Logging_0662/klagomålsmail/A 23694-2023 FSC-klagomål mail.docx", "A 23694-2023")</f>
        <v/>
      </c>
      <c r="X14">
        <f>HYPERLINK("https://klasma.github.io/Logging_0662/tillsyn/A 23694-2023 tillsynsbegäran.docx", "A 23694-2023")</f>
        <v/>
      </c>
      <c r="Y14">
        <f>HYPERLINK("https://klasma.github.io/Logging_0662/tillsynsmail/A 23694-2023 tillsynsbegäran mail.docx", "A 23694-2023")</f>
        <v/>
      </c>
    </row>
    <row r="15" ht="15" customHeight="1">
      <c r="A15" t="inlineStr">
        <is>
          <t>A 11174-2024</t>
        </is>
      </c>
      <c r="B15" s="1" t="n">
        <v>45371</v>
      </c>
      <c r="C15" s="1" t="n">
        <v>45510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HYPERLINK("https://klasma.github.io/Logging_0662/artfynd/A 11174-2024 artfynd.xlsx", "A 11174-2024")</f>
        <v/>
      </c>
      <c r="T15">
        <f>HYPERLINK("https://klasma.github.io/Logging_0662/kartor/A 11174-2024 karta.png", "A 11174-2024")</f>
        <v/>
      </c>
      <c r="V15">
        <f>HYPERLINK("https://klasma.github.io/Logging_0662/klagomål/A 11174-2024 FSC-klagomål.docx", "A 11174-2024")</f>
        <v/>
      </c>
      <c r="W15">
        <f>HYPERLINK("https://klasma.github.io/Logging_0662/klagomålsmail/A 11174-2024 FSC-klagomål mail.docx", "A 11174-2024")</f>
        <v/>
      </c>
      <c r="X15">
        <f>HYPERLINK("https://klasma.github.io/Logging_0662/tillsyn/A 11174-2024 tillsynsbegäran.docx", "A 11174-2024")</f>
        <v/>
      </c>
      <c r="Y15">
        <f>HYPERLINK("https://klasma.github.io/Logging_0662/tillsynsmail/A 11174-2024 tillsynsbegäran mail.docx", "A 11174-2024")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45510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17736-2019</t>
        </is>
      </c>
      <c r="B17" s="1" t="n">
        <v>43556</v>
      </c>
      <c r="C17" s="1" t="n">
        <v>45510</v>
      </c>
      <c r="D17" t="inlineStr">
        <is>
          <t>JÖNKÖPINGS LÄN</t>
        </is>
      </c>
      <c r="E17" t="inlineStr">
        <is>
          <t>GISLAVED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17727-2019</t>
        </is>
      </c>
      <c r="B18" s="1" t="n">
        <v>43556</v>
      </c>
      <c r="C18" s="1" t="n">
        <v>45510</v>
      </c>
      <c r="D18" t="inlineStr">
        <is>
          <t>JÖNKÖPINGS LÄN</t>
        </is>
      </c>
      <c r="E18" t="inlineStr">
        <is>
          <t>GISLAVED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17918-2019</t>
        </is>
      </c>
      <c r="B19" s="1" t="n">
        <v>43557</v>
      </c>
      <c r="C19" s="1" t="n">
        <v>45510</v>
      </c>
      <c r="D19" t="inlineStr">
        <is>
          <t>JÖNKÖPINGS LÄN</t>
        </is>
      </c>
      <c r="E19" t="inlineStr">
        <is>
          <t>GISLAVED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17903-2019</t>
        </is>
      </c>
      <c r="B20" s="1" t="n">
        <v>43557</v>
      </c>
      <c r="C20" s="1" t="n">
        <v>45510</v>
      </c>
      <c r="D20" t="inlineStr">
        <is>
          <t>JÖNKÖPINGS LÄN</t>
        </is>
      </c>
      <c r="E20" t="inlineStr">
        <is>
          <t>GISLAVED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18185-2019</t>
        </is>
      </c>
      <c r="B21" s="1" t="n">
        <v>43558</v>
      </c>
      <c r="C21" s="1" t="n">
        <v>45510</v>
      </c>
      <c r="D21" t="inlineStr">
        <is>
          <t>JÖNKÖPINGS LÄN</t>
        </is>
      </c>
      <c r="E21" t="inlineStr">
        <is>
          <t>GISLAVED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18491-2019</t>
        </is>
      </c>
      <c r="B22" s="1" t="n">
        <v>43558</v>
      </c>
      <c r="C22" s="1" t="n">
        <v>45510</v>
      </c>
      <c r="D22" t="inlineStr">
        <is>
          <t>JÖNKÖPINGS LÄN</t>
        </is>
      </c>
      <c r="E22" t="inlineStr">
        <is>
          <t>GISLAVED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18818-2019</t>
        </is>
      </c>
      <c r="B23" s="1" t="n">
        <v>43563</v>
      </c>
      <c r="C23" s="1" t="n">
        <v>45510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19673-2019</t>
        </is>
      </c>
      <c r="B24" s="1" t="n">
        <v>43566</v>
      </c>
      <c r="C24" s="1" t="n">
        <v>45510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19893-2019</t>
        </is>
      </c>
      <c r="B25" s="1" t="n">
        <v>43567</v>
      </c>
      <c r="C25" s="1" t="n">
        <v>45510</v>
      </c>
      <c r="D25" t="inlineStr">
        <is>
          <t>JÖNKÖPINGS LÄN</t>
        </is>
      </c>
      <c r="E25" t="inlineStr">
        <is>
          <t>GISLAVED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20241-2019</t>
        </is>
      </c>
      <c r="B26" s="1" t="n">
        <v>43567</v>
      </c>
      <c r="C26" s="1" t="n">
        <v>45510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21214-2019</t>
        </is>
      </c>
      <c r="B27" s="1" t="n">
        <v>43579</v>
      </c>
      <c r="C27" s="1" t="n">
        <v>45510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21221-2019</t>
        </is>
      </c>
      <c r="B28" s="1" t="n">
        <v>43579</v>
      </c>
      <c r="C28" s="1" t="n">
        <v>45510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22078-2019</t>
        </is>
      </c>
      <c r="B29" s="1" t="n">
        <v>43584</v>
      </c>
      <c r="C29" s="1" t="n">
        <v>45510</v>
      </c>
      <c r="D29" t="inlineStr">
        <is>
          <t>JÖNKÖPINGS LÄN</t>
        </is>
      </c>
      <c r="E29" t="inlineStr">
        <is>
          <t>GISLAVED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22475-2019</t>
        </is>
      </c>
      <c r="B30" s="1" t="n">
        <v>43587</v>
      </c>
      <c r="C30" s="1" t="n">
        <v>45510</v>
      </c>
      <c r="D30" t="inlineStr">
        <is>
          <t>JÖNKÖPINGS LÄN</t>
        </is>
      </c>
      <c r="E30" t="inlineStr">
        <is>
          <t>GISLAVED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22476-2019</t>
        </is>
      </c>
      <c r="B31" s="1" t="n">
        <v>43587</v>
      </c>
      <c r="C31" s="1" t="n">
        <v>45510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24223-2019</t>
        </is>
      </c>
      <c r="B32" s="1" t="n">
        <v>43599</v>
      </c>
      <c r="C32" s="1" t="n">
        <v>45510</v>
      </c>
      <c r="D32" t="inlineStr">
        <is>
          <t>JÖNKÖPINGS LÄN</t>
        </is>
      </c>
      <c r="E32" t="inlineStr">
        <is>
          <t>GISLAVED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24471-2019</t>
        </is>
      </c>
      <c r="B33" s="1" t="n">
        <v>43600</v>
      </c>
      <c r="C33" s="1" t="n">
        <v>45510</v>
      </c>
      <c r="D33" t="inlineStr">
        <is>
          <t>JÖNKÖPINGS LÄN</t>
        </is>
      </c>
      <c r="E33" t="inlineStr">
        <is>
          <t>GISLAVED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24997-2019</t>
        </is>
      </c>
      <c r="B34" s="1" t="n">
        <v>43602</v>
      </c>
      <c r="C34" s="1" t="n">
        <v>45510</v>
      </c>
      <c r="D34" t="inlineStr">
        <is>
          <t>JÖNKÖPINGS LÄN</t>
        </is>
      </c>
      <c r="E34" t="inlineStr">
        <is>
          <t>GISLAVED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25093-2019</t>
        </is>
      </c>
      <c r="B35" s="1" t="n">
        <v>43605</v>
      </c>
      <c r="C35" s="1" t="n">
        <v>45510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25263-2019</t>
        </is>
      </c>
      <c r="B36" s="1" t="n">
        <v>43605</v>
      </c>
      <c r="C36" s="1" t="n">
        <v>45510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26735-2019</t>
        </is>
      </c>
      <c r="B37" s="1" t="n">
        <v>43607</v>
      </c>
      <c r="C37" s="1" t="n">
        <v>45510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27731-2019</t>
        </is>
      </c>
      <c r="B38" s="1" t="n">
        <v>43612</v>
      </c>
      <c r="C38" s="1" t="n">
        <v>45510</v>
      </c>
      <c r="D38" t="inlineStr">
        <is>
          <t>JÖNKÖPINGS LÄN</t>
        </is>
      </c>
      <c r="E38" t="inlineStr">
        <is>
          <t>GISLAVED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27734-2019</t>
        </is>
      </c>
      <c r="B39" s="1" t="n">
        <v>43612</v>
      </c>
      <c r="C39" s="1" t="n">
        <v>45510</v>
      </c>
      <c r="D39" t="inlineStr">
        <is>
          <t>JÖNKÖPINGS LÄN</t>
        </is>
      </c>
      <c r="E39" t="inlineStr">
        <is>
          <t>GISLAVED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27565-2019</t>
        </is>
      </c>
      <c r="B40" s="1" t="n">
        <v>43619</v>
      </c>
      <c r="C40" s="1" t="n">
        <v>45510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28304-2019</t>
        </is>
      </c>
      <c r="B41" s="1" t="n">
        <v>43623</v>
      </c>
      <c r="C41" s="1" t="n">
        <v>45510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29962-2019</t>
        </is>
      </c>
      <c r="B42" s="1" t="n">
        <v>43633</v>
      </c>
      <c r="C42" s="1" t="n">
        <v>45510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30239-2019</t>
        </is>
      </c>
      <c r="B43" s="1" t="n">
        <v>43634</v>
      </c>
      <c r="C43" s="1" t="n">
        <v>45510</v>
      </c>
      <c r="D43" t="inlineStr">
        <is>
          <t>JÖNKÖPINGS LÄN</t>
        </is>
      </c>
      <c r="E43" t="inlineStr">
        <is>
          <t>GISLAVED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31410-2019</t>
        </is>
      </c>
      <c r="B44" s="1" t="n">
        <v>43641</v>
      </c>
      <c r="C44" s="1" t="n">
        <v>45510</v>
      </c>
      <c r="D44" t="inlineStr">
        <is>
          <t>JÖNKÖPINGS LÄN</t>
        </is>
      </c>
      <c r="E44" t="inlineStr">
        <is>
          <t>GISLAVED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32181-2019</t>
        </is>
      </c>
      <c r="B45" s="1" t="n">
        <v>43643</v>
      </c>
      <c r="C45" s="1" t="n">
        <v>45510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32953-2019</t>
        </is>
      </c>
      <c r="B46" s="1" t="n">
        <v>43648</v>
      </c>
      <c r="C46" s="1" t="n">
        <v>45510</v>
      </c>
      <c r="D46" t="inlineStr">
        <is>
          <t>JÖNKÖPINGS LÄN</t>
        </is>
      </c>
      <c r="E46" t="inlineStr">
        <is>
          <t>GISLAVED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33293-2019</t>
        </is>
      </c>
      <c r="B47" s="1" t="n">
        <v>43650</v>
      </c>
      <c r="C47" s="1" t="n">
        <v>45510</v>
      </c>
      <c r="D47" t="inlineStr">
        <is>
          <t>JÖNKÖPINGS LÄN</t>
        </is>
      </c>
      <c r="E47" t="inlineStr">
        <is>
          <t>GISLAVED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33329-2019</t>
        </is>
      </c>
      <c r="B48" s="1" t="n">
        <v>43650</v>
      </c>
      <c r="C48" s="1" t="n">
        <v>45510</v>
      </c>
      <c r="D48" t="inlineStr">
        <is>
          <t>JÖNKÖPINGS LÄN</t>
        </is>
      </c>
      <c r="E48" t="inlineStr">
        <is>
          <t>GISLAVED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33288-2019</t>
        </is>
      </c>
      <c r="B49" s="1" t="n">
        <v>43650</v>
      </c>
      <c r="C49" s="1" t="n">
        <v>45510</v>
      </c>
      <c r="D49" t="inlineStr">
        <is>
          <t>JÖNKÖPINGS LÄN</t>
        </is>
      </c>
      <c r="E49" t="inlineStr">
        <is>
          <t>GISLAVED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33325-2019</t>
        </is>
      </c>
      <c r="B50" s="1" t="n">
        <v>43650</v>
      </c>
      <c r="C50" s="1" t="n">
        <v>45510</v>
      </c>
      <c r="D50" t="inlineStr">
        <is>
          <t>JÖNKÖPINGS LÄN</t>
        </is>
      </c>
      <c r="E50" t="inlineStr">
        <is>
          <t>GISLAVED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33351-2019</t>
        </is>
      </c>
      <c r="B51" s="1" t="n">
        <v>43650</v>
      </c>
      <c r="C51" s="1" t="n">
        <v>45510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33982-2019</t>
        </is>
      </c>
      <c r="B52" s="1" t="n">
        <v>43654</v>
      </c>
      <c r="C52" s="1" t="n">
        <v>45510</v>
      </c>
      <c r="D52" t="inlineStr">
        <is>
          <t>JÖNKÖPINGS LÄN</t>
        </is>
      </c>
      <c r="E52" t="inlineStr">
        <is>
          <t>GISLAVED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34387-2019</t>
        </is>
      </c>
      <c r="B53" s="1" t="n">
        <v>43656</v>
      </c>
      <c r="C53" s="1" t="n">
        <v>45510</v>
      </c>
      <c r="D53" t="inlineStr">
        <is>
          <t>JÖNKÖPINGS LÄN</t>
        </is>
      </c>
      <c r="E53" t="inlineStr">
        <is>
          <t>GISLAVED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34642-2019</t>
        </is>
      </c>
      <c r="B54" s="1" t="n">
        <v>43657</v>
      </c>
      <c r="C54" s="1" t="n">
        <v>45510</v>
      </c>
      <c r="D54" t="inlineStr">
        <is>
          <t>JÖNKÖPINGS LÄN</t>
        </is>
      </c>
      <c r="E54" t="inlineStr">
        <is>
          <t>GISLAVED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35411-2019</t>
        </is>
      </c>
      <c r="B55" s="1" t="n">
        <v>43663</v>
      </c>
      <c r="C55" s="1" t="n">
        <v>45510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35574-2019</t>
        </is>
      </c>
      <c r="B56" s="1" t="n">
        <v>43664</v>
      </c>
      <c r="C56" s="1" t="n">
        <v>45510</v>
      </c>
      <c r="D56" t="inlineStr">
        <is>
          <t>JÖNKÖPINGS LÄN</t>
        </is>
      </c>
      <c r="E56" t="inlineStr">
        <is>
          <t>GISLAVED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35618-2019</t>
        </is>
      </c>
      <c r="B57" s="1" t="n">
        <v>43664</v>
      </c>
      <c r="C57" s="1" t="n">
        <v>45510</v>
      </c>
      <c r="D57" t="inlineStr">
        <is>
          <t>JÖNKÖPINGS LÄN</t>
        </is>
      </c>
      <c r="E57" t="inlineStr">
        <is>
          <t>GISLAVED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37345-2019</t>
        </is>
      </c>
      <c r="B58" s="1" t="n">
        <v>43678</v>
      </c>
      <c r="C58" s="1" t="n">
        <v>45510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45510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45510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45510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45510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45510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45510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45510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45510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45510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45510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45510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45510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45510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45510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45510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45510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45510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45510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45510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45510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45510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45510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45510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45510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45510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45510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45510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45510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45510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45510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45510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45510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45510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45510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45510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45510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45510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45510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45510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45510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45510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45510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45510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45510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45510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45510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45510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45510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45510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45510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45510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45510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45510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45510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45510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45510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45510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45510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45510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45510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45510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45510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45510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45510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45510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45510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45510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45510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45510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45510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45510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45510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45510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45510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45510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45510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45510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45510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45510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45510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45510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45510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45510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45510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45510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45510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45510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45510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45510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45510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45510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45510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45510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45510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45510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45510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45510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45510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45510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45510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45510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45510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45510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45510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45510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45510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45510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45510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45510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45510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45510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45510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45510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45510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45510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45510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45510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45510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45510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45510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45510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45510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45510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45510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45510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45510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45510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45510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45510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45510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45510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45510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45510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45510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45510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45510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45510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45510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45510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45510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45510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45510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45510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45510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45510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45510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45510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45510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45510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45510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45510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45510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45510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45510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45510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45510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45510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45510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45510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45510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45510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45510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45510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45510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45510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45510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45510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45510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45510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45510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45510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45510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45510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45510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45510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45510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45510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45510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45510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45510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45510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45510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45510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45510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45510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45510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45510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45510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45510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45510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45510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45510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45510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45510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45510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45510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45510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45510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45510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45510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45510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45510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45510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45510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45510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45510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45510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45510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45510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45510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45510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45510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45510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45510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45510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45510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45510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45510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45510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45510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45510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45510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45510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45510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45510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45510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45510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45510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45510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45510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45510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45510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45510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45510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45510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45510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45510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45510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45510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45510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45510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45510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45510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45510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45510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45510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45510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45510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45510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45510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45510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45510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45510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45510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45510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45510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45510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45510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45510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45510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45510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45510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45510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45510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45510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45510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45510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45510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45510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45510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45510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45510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45510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45510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45510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45510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45510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45510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45510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45510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45510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45510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45510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45510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45510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45510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45510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45510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45510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45510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45510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45510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45510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45510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45510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45510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45510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45510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45510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45510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45510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45510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45510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45510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45510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45510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45510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45510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45510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45510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45510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45510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45510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45510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45510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45510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45510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45510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45510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45510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45510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45510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45510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45510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45510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45510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45510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45510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45510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45510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45510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45510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45510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45510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45510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45510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45510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45510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45510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45510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45510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45510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45510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45510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45510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45510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45510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45510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45510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45510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45510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45510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45510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45510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45510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45510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45510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45510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45510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45510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45510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45510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45510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45510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45510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45510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45510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45510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45510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45510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45510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45510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45510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45510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45510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45510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45510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45510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45510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45510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45510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45510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45510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45510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45510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45510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45510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45510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45510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45510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45510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45510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45510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45510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45510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45510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45510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45510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45510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45510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45510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45510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45510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45510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45510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45510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45510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45510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45510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45510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45510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45510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45510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45510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45510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45510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45510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45510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45510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45510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45510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45510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45510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45510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45510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45510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45510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45510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45510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45510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45510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45510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45510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45510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45510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45510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45510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45510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45510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45510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45510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45510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45510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45510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45510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45510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45510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45510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45510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45510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45510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45510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45510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45510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45510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45510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45510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45510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45510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45510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45510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45510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45510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45510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45510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45510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45510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45510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45510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45510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45510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45510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45510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45510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45510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45510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45510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45510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45510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45510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45510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45510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45510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45510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45510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45510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45510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45510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45510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45510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45510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45510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45510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45510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45510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45510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45510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45510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45510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45510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45510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45510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45510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45510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45510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45510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45510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45510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45510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45510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45510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45510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45510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45510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45510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45510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45510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45510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45510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45510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45510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45510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45510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45510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45510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45510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45510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45510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45510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45510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45510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45510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45510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45510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45510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45510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45510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45510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45510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45510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45510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45510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45510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45510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45510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45510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45510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45510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45510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45510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45510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45510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45510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45510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45510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45510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45510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45510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45510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45510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45510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45510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45510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45510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45510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45510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45510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45510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45510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45510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45510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45510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45510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45510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45510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45510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45510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45510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45510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45510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45510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45510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45510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45510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45510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45510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45510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45510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45510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45510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45510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45510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45510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45510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45510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45510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45510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45510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45510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45510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45510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45510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45510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45510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45510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45510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45510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45510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45510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45510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45510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45510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45510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45510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45510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45510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45510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45510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45510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45510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45510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45510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45510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45510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45510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45510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45510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45510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45510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45510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45510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45510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45510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45510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45510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45510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45510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45510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45510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45510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45510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45510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45510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45510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45510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45510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45510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45510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45510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45510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45510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45510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45510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45510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45510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45510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45510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45510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45510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45510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45510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45510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45510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45510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45510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45510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45510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45510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45510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45510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45510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45510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45510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45510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45510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45510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45510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45510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45510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45510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45510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45510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45510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45510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45510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45510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45510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45510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45510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45510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45510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45510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45510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45510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45510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45510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45510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45510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45510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45510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45510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45510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45510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45510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45510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45510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45510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45510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45510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45510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45510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45510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45510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45510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45510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45510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45510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45510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45510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45510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45510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45510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45510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45510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45510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45510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45510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45510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45510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45510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45510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45510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45510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45510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45510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45510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45510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45510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45510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45510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45510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45510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45510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45510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45510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45510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45510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45510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45510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45510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45510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45510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45510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45510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45510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45510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45510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45510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45510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45510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45510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45510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45510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45510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45510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45510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45510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45510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45510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45510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45510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45510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45510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45510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45510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45510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45510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45510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45510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45510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45510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45510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45510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45510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45510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45510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45510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45510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45510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45510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45510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45510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45510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45510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45510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45510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45510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45510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45510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45510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45510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45510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45510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45510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45510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45510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45510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45510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45510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45510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45510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45510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45510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45510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45510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45510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45510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45510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45510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45510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45510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45510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45510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45510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45510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45510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45510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45510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45510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45510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45510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45510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45510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45510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45510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45510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45510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45510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45510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45510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45510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45510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45510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45510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45510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45510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45510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45510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45510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45510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45510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45510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45510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45510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45510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45510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45510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45510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45510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45510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45510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45510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45510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45510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45510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45510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45510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45510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45510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45510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45510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45510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45510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45510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45510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45510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45510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45510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45510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45510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45510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45510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45510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45510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45510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45510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29621-2024</t>
        </is>
      </c>
      <c r="B945" s="1" t="n">
        <v>45484</v>
      </c>
      <c r="C945" s="1" t="n">
        <v>45510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45510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45510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30037-2024</t>
        </is>
      </c>
      <c r="B948" s="1" t="n">
        <v>45488</v>
      </c>
      <c r="C948" s="1" t="n">
        <v>45510</v>
      </c>
      <c r="D948" t="inlineStr">
        <is>
          <t>JÖNKÖPINGS LÄN</t>
        </is>
      </c>
      <c r="E948" t="inlineStr">
        <is>
          <t>GISLAVED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30045-2024</t>
        </is>
      </c>
      <c r="B949" s="1" t="n">
        <v>45488</v>
      </c>
      <c r="C949" s="1" t="n">
        <v>45510</v>
      </c>
      <c r="D949" t="inlineStr">
        <is>
          <t>JÖNKÖPINGS LÄN</t>
        </is>
      </c>
      <c r="E949" t="inlineStr">
        <is>
          <t>GISLAVED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45510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45510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30047-2024</t>
        </is>
      </c>
      <c r="B952" s="1" t="n">
        <v>45488</v>
      </c>
      <c r="C952" s="1" t="n">
        <v>45510</v>
      </c>
      <c r="D952" t="inlineStr">
        <is>
          <t>JÖNKÖPINGS LÄN</t>
        </is>
      </c>
      <c r="E952" t="inlineStr">
        <is>
          <t>GISLAVED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45510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45510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45510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30603-2024</t>
        </is>
      </c>
      <c r="B956" s="1" t="n">
        <v>45494</v>
      </c>
      <c r="C956" s="1" t="n">
        <v>45510</v>
      </c>
      <c r="D956" t="inlineStr">
        <is>
          <t>JÖNKÖPINGS LÄN</t>
        </is>
      </c>
      <c r="E956" t="inlineStr">
        <is>
          <t>GISLAVED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30602-2024</t>
        </is>
      </c>
      <c r="B957" s="1" t="n">
        <v>45494</v>
      </c>
      <c r="C957" s="1" t="n">
        <v>45510</v>
      </c>
      <c r="D957" t="inlineStr">
        <is>
          <t>JÖNKÖPINGS LÄN</t>
        </is>
      </c>
      <c r="E957" t="inlineStr">
        <is>
          <t>GISLAVED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45510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30845-2024</t>
        </is>
      </c>
      <c r="B959" s="1" t="n">
        <v>45497</v>
      </c>
      <c r="C959" s="1" t="n">
        <v>45510</v>
      </c>
      <c r="D959" t="inlineStr">
        <is>
          <t>JÖNKÖPINGS LÄN</t>
        </is>
      </c>
      <c r="E959" t="inlineStr">
        <is>
          <t>GISLAVED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45510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45510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30923-2024</t>
        </is>
      </c>
      <c r="B962" s="1" t="n">
        <v>45498</v>
      </c>
      <c r="C962" s="1" t="n">
        <v>45510</v>
      </c>
      <c r="D962" t="inlineStr">
        <is>
          <t>JÖNKÖPINGS LÄN</t>
        </is>
      </c>
      <c r="E962" t="inlineStr">
        <is>
          <t>GISLAVED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30922-2024</t>
        </is>
      </c>
      <c r="B963" s="1" t="n">
        <v>45498</v>
      </c>
      <c r="C963" s="1" t="n">
        <v>45510</v>
      </c>
      <c r="D963" t="inlineStr">
        <is>
          <t>JÖNKÖPINGS LÄN</t>
        </is>
      </c>
      <c r="E963" t="inlineStr">
        <is>
          <t>GISLAVED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45510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45510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31149-2024</t>
        </is>
      </c>
      <c r="B966" s="1" t="n">
        <v>45503</v>
      </c>
      <c r="C966" s="1" t="n">
        <v>45510</v>
      </c>
      <c r="D966" t="inlineStr">
        <is>
          <t>JÖNKÖPINGS LÄN</t>
        </is>
      </c>
      <c r="E966" t="inlineStr">
        <is>
          <t>GISLAVED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31153-2024</t>
        </is>
      </c>
      <c r="B967" s="1" t="n">
        <v>45503</v>
      </c>
      <c r="C967" s="1" t="n">
        <v>45510</v>
      </c>
      <c r="D967" t="inlineStr">
        <is>
          <t>JÖNKÖPINGS LÄN</t>
        </is>
      </c>
      <c r="E967" t="inlineStr">
        <is>
          <t>GISLAVED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31151-2024</t>
        </is>
      </c>
      <c r="B968" s="1" t="n">
        <v>45503</v>
      </c>
      <c r="C968" s="1" t="n">
        <v>45510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45510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45510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45510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31782-2024</t>
        </is>
      </c>
      <c r="B972" s="1" t="n">
        <v>45509</v>
      </c>
      <c r="C972" s="1" t="n">
        <v>45510</v>
      </c>
      <c r="D972" t="inlineStr">
        <is>
          <t>JÖNKÖPINGS LÄN</t>
        </is>
      </c>
      <c r="E972" t="inlineStr">
        <is>
          <t>GISLAVED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45510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45510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31776-2024</t>
        </is>
      </c>
      <c r="B975" s="1" t="n">
        <v>45509</v>
      </c>
      <c r="C975" s="1" t="n">
        <v>45510</v>
      </c>
      <c r="D975" t="inlineStr">
        <is>
          <t>JÖNKÖPINGS LÄN</t>
        </is>
      </c>
      <c r="E975" t="inlineStr">
        <is>
          <t>GISLAVED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31814-2024</t>
        </is>
      </c>
      <c r="B976" s="1" t="n">
        <v>45509</v>
      </c>
      <c r="C976" s="1" t="n">
        <v>45510</v>
      </c>
      <c r="D976" t="inlineStr">
        <is>
          <t>JÖNKÖPINGS LÄN</t>
        </is>
      </c>
      <c r="E976" t="inlineStr">
        <is>
          <t>GISLAVED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2024-08-06T10:59:11Z</dcterms:created>
  <dcterms:modified xmlns:dcterms="http://purl.org/dc/terms/" xmlns:xsi="http://www.w3.org/2001/XMLSchema-instance" xsi:type="dcterms:W3CDTF">2024-08-06T10:59:12Z</dcterms:modified>
</cp:coreProperties>
</file>