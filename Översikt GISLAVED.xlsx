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46257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46257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46257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46257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46257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46257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46257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46257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Talltita
Bronshjon
Kungsfågel</t>
        </is>
      </c>
      <c r="W13">
        <f>HYPERLINK("https://klasma.github.io/Logging_0662/artfynd/A 59990-2025 artfynd.xlsx", "A 59990-2025")</f>
        <v/>
      </c>
      <c r="X13">
        <f>HYPERLINK("https://klasma.github.io/Logging_0662/kartor/A 59990-2025 karta.png", "A 59990-2025")</f>
        <v/>
      </c>
      <c r="Y13">
        <f>HYPERLINK("https://klasma.github.io/Logging_0662/kartor_geotiff/A 59990-2025 georefererad karta.tif", "A 59990-2025")</f>
        <v/>
      </c>
      <c r="AA13">
        <f>HYPERLINK("https://klasma.github.io/Logging_0662/klagomål/A 59990-2025 FSC-klagomål.docx", "A 59990-2025")</f>
        <v/>
      </c>
      <c r="AB13">
        <f>HYPERLINK("https://klasma.github.io/Logging_0662/klagomålsmail/A 59990-2025 FSC-klagomål mail.docx", "A 59990-2025")</f>
        <v/>
      </c>
      <c r="AC13">
        <f>HYPERLINK("https://klasma.github.io/Logging_0662/tillsyn/A 59990-2025 tillsynsbegäran.docx", "A 59990-2025")</f>
        <v/>
      </c>
      <c r="AD13">
        <f>HYPERLINK("https://klasma.github.io/Logging_0662/tillsynsmail/A 59990-2025 tillsynsbegäran mail.docx", "A 59990-2025")</f>
        <v/>
      </c>
      <c r="AE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11902-2025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45728</v>
      </c>
      <c r="E16" s="1" t="n">
        <v>46257</v>
      </c>
      <c r="F16" t="inlineStr">
        <is>
          <t>JÖNKÖPINGS LÄN</t>
        </is>
      </c>
      <c r="G16" t="inlineStr">
        <is>
          <t>GISLAVED</t>
        </is>
      </c>
      <c r="H16" t="inlineStr">
        <is>
          <t>Sveaskog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11902-2025 artfynd.xlsx", "A 11902-2025")</f>
        <v/>
      </c>
      <c r="X16">
        <f>HYPERLINK("https://klasma.github.io/Logging_0662/kartor/A 11902-2025 karta.png", "A 11902-2025")</f>
        <v/>
      </c>
      <c r="Y16">
        <f>HYPERLINK("https://klasma.github.io/Logging_0662/kartor_geotiff/A 11902-2025 georefererad karta.tif", "A 11902-2025")</f>
        <v/>
      </c>
      <c r="AA16">
        <f>HYPERLINK("https://klasma.github.io/Logging_0662/klagomål/A 11902-2025 FSC-klagomål.docx", "A 11902-2025")</f>
        <v/>
      </c>
      <c r="AB16">
        <f>HYPERLINK("https://klasma.github.io/Logging_0662/klagomålsmail/A 11902-2025 FSC-klagomål mail.docx", "A 11902-2025")</f>
        <v/>
      </c>
      <c r="AC16">
        <f>HYPERLINK("https://klasma.github.io/Logging_0662/tillsyn/A 11902-2025 tillsynsbegäran.docx", "A 11902-2025")</f>
        <v/>
      </c>
      <c r="AD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46257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46257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18423-2024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46257</v>
      </c>
      <c r="F20" t="inlineStr">
        <is>
          <t>JÖNKÖPINGS LÄN</t>
        </is>
      </c>
      <c r="G20" t="inlineStr">
        <is>
          <t>GISLAVED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Ljungögontröst</t>
        </is>
      </c>
      <c r="W20">
        <f>HYPERLINK("https://klasma.github.io/Logging_0662/artfynd/A 18423-2024 artfynd.xlsx", "A 18423-2024")</f>
        <v/>
      </c>
      <c r="X20">
        <f>HYPERLINK("https://klasma.github.io/Logging_0662/kartor/A 18423-2024 karta.png", "A 18423-2024")</f>
        <v/>
      </c>
      <c r="Y20">
        <f>HYPERLINK("https://klasma.github.io/Logging_0662/kartor_geotiff/A 18423-2024 georefererad karta.tif", "A 18423-2024")</f>
        <v/>
      </c>
      <c r="AA20">
        <f>HYPERLINK("https://klasma.github.io/Logging_0662/klagomål/A 18423-2024 FSC-klagomål.docx", "A 18423-2024")</f>
        <v/>
      </c>
      <c r="AB20">
        <f>HYPERLINK("https://klasma.github.io/Logging_0662/klagomålsmail/A 18423-2024 FSC-klagomål mail.docx", "A 18423-2024")</f>
        <v/>
      </c>
      <c r="AC20">
        <f>HYPERLINK("https://klasma.github.io/Logging_0662/tillsyn/A 18423-2024 tillsynsbegäran.docx", "A 18423-2024")</f>
        <v/>
      </c>
      <c r="AD20">
        <f>HYPERLINK("https://klasma.github.io/Logging_0662/tillsynsmail/A 18423-2024 tillsynsbegäran mail.docx", "A 18423-2024")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46257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46257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46257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6545-2025 artfynd.xlsx", "A 6545-2025")</f>
        <v/>
      </c>
      <c r="X23">
        <f>HYPERLINK("https://klasma.github.io/Logging_0662/kartor/A 6545-2025 karta.png", "A 6545-2025")</f>
        <v/>
      </c>
      <c r="Y23">
        <f>HYPERLINK("https://klasma.github.io/Logging_0662/kartor_geotiff/A 6545-2025 georefererad karta.tif", "A 6545-2025")</f>
        <v/>
      </c>
      <c r="AA23">
        <f>HYPERLINK("https://klasma.github.io/Logging_0662/klagomål/A 6545-2025 FSC-klagomål.docx", "A 6545-2025")</f>
        <v/>
      </c>
      <c r="AB23">
        <f>HYPERLINK("https://klasma.github.io/Logging_0662/klagomålsmail/A 6545-2025 FSC-klagomål mail.docx", "A 6545-2025")</f>
        <v/>
      </c>
      <c r="AC23">
        <f>HYPERLINK("https://klasma.github.io/Logging_0662/tillsyn/A 6545-2025 tillsynsbegäran.docx", "A 6545-2025")</f>
        <v/>
      </c>
      <c r="AD23">
        <f>HYPERLINK("https://klasma.github.io/Logging_0662/tillsynsmail/A 6545-2025 tillsynsbegäran mail.docx", "A 6545-2025")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46257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46257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46257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46257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46257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46257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18415-2026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46257</v>
      </c>
      <c r="F30" t="inlineStr">
        <is>
          <t>JÖNKÖPINGS LÄN</t>
        </is>
      </c>
      <c r="G30" t="inlineStr">
        <is>
          <t>GISLAVED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HYPERLINK("https://klasma.github.io/Logging_0662/artfynd/A 18415-2026 artfynd.xlsx", "A 18415-2026")</f>
        <v/>
      </c>
      <c r="X30">
        <f>HYPERLINK("https://klasma.github.io/Logging_0662/kartor/A 18415-2026 karta.png", "A 18415-2026")</f>
        <v/>
      </c>
      <c r="Y30">
        <f>HYPERLINK("https://klasma.github.io/Logging_0662/kartor_geotiff/A 18415-2026 georefererad karta.tif", "A 18415-2026")</f>
        <v/>
      </c>
      <c r="AA30">
        <f>HYPERLINK("https://klasma.github.io/Logging_0662/klagomål/A 18415-2026 FSC-klagomål.docx", "A 18415-2026")</f>
        <v/>
      </c>
      <c r="AB30">
        <f>HYPERLINK("https://klasma.github.io/Logging_0662/klagomålsmail/A 18415-2026 FSC-klagomål mail.docx", "A 18415-2026")</f>
        <v/>
      </c>
      <c r="AC30">
        <f>HYPERLINK("https://klasma.github.io/Logging_0662/tillsyn/A 18415-2026 tillsynsbegäran.docx", "A 18415-2026")</f>
        <v/>
      </c>
      <c r="AD30">
        <f>HYPERLINK("https://klasma.github.io/Logging_0662/tillsynsmail/A 18415-2026 tillsynsbegäran mail.docx", "A 18415-2026")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46257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46257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46257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46257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46257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46257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46257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46257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46257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46257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46257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46257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46257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46257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46257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46257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46257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46257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46257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46257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46257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46257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46257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46257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46257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46257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46257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46257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46257</v>
      </c>
      <c r="F59" t="inlineStr">
        <is>
          <t>JÖNKÖPINGS LÄN</t>
        </is>
      </c>
      <c r="G59" t="inlineStr">
        <is>
          <t>GISLAVED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46257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46257</v>
      </c>
      <c r="F61" t="inlineStr">
        <is>
          <t>JÖNKÖPINGS LÄN</t>
        </is>
      </c>
      <c r="G61" t="inlineStr">
        <is>
          <t>GISLAVED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46257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46257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46257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46257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46257</v>
      </c>
      <c r="F66" t="inlineStr">
        <is>
          <t>JÖNKÖPINGS LÄN</t>
        </is>
      </c>
      <c r="G66" t="inlineStr">
        <is>
          <t>GISLAVED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46257</v>
      </c>
      <c r="F67" t="inlineStr">
        <is>
          <t>JÖNKÖPINGS LÄN</t>
        </is>
      </c>
      <c r="G67" t="inlineStr">
        <is>
          <t>GISLAVED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46257</v>
      </c>
      <c r="F68" t="inlineStr">
        <is>
          <t>JÖNKÖPINGS LÄN</t>
        </is>
      </c>
      <c r="G68" t="inlineStr">
        <is>
          <t>GISLAVED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46257</v>
      </c>
      <c r="F69" t="inlineStr">
        <is>
          <t>JÖNKÖPINGS LÄN</t>
        </is>
      </c>
      <c r="G69" t="inlineStr">
        <is>
          <t>GISLAVED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46257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46257</v>
      </c>
      <c r="F71" t="inlineStr">
        <is>
          <t>JÖNKÖPINGS LÄN</t>
        </is>
      </c>
      <c r="G71" t="inlineStr">
        <is>
          <t>GISLAVED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46257</v>
      </c>
      <c r="F72" t="inlineStr">
        <is>
          <t>JÖNKÖPINGS LÄN</t>
        </is>
      </c>
      <c r="G72" t="inlineStr">
        <is>
          <t>GISLAVED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46257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46257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44571</v>
      </c>
      <c r="E75" s="1" t="n">
        <v>46257</v>
      </c>
      <c r="F75" t="inlineStr">
        <is>
          <t>JÖNKÖPINGS LÄN</t>
        </is>
      </c>
      <c r="G75" t="inlineStr">
        <is>
          <t>GISLAVED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46257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46257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46257</v>
      </c>
      <c r="F78" t="inlineStr">
        <is>
          <t>JÖNKÖPINGS LÄN</t>
        </is>
      </c>
      <c r="G78" t="inlineStr">
        <is>
          <t>GISLAVED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46257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46257</v>
      </c>
      <c r="F80" t="inlineStr">
        <is>
          <t>JÖNKÖPINGS LÄN</t>
        </is>
      </c>
      <c r="G80" t="inlineStr">
        <is>
          <t>GISLAVED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44563</v>
      </c>
      <c r="E81" s="1" t="n">
        <v>46257</v>
      </c>
      <c r="F81" t="inlineStr">
        <is>
          <t>JÖNKÖPINGS LÄN</t>
        </is>
      </c>
      <c r="G81" t="inlineStr">
        <is>
          <t>GISLAVED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46257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45735</v>
      </c>
      <c r="E83" s="1" t="n">
        <v>46257</v>
      </c>
      <c r="F83" t="inlineStr">
        <is>
          <t>JÖNKÖPINGS LÄN</t>
        </is>
      </c>
      <c r="G83" t="inlineStr">
        <is>
          <t>GISLAVED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45727</v>
      </c>
      <c r="E84" s="1" t="n">
        <v>46257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11912-2025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45728</v>
      </c>
      <c r="E85" s="1" t="n">
        <v>46257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46257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11905-2025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45728</v>
      </c>
      <c r="E87" s="1" t="n">
        <v>46257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45494</v>
      </c>
      <c r="E88" s="1" t="n">
        <v>46257</v>
      </c>
      <c r="F88" t="inlineStr">
        <is>
          <t>JÖNKÖPINGS LÄN</t>
        </is>
      </c>
      <c r="G88" t="inlineStr">
        <is>
          <t>GISLAVED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46257</v>
      </c>
      <c r="F89" t="inlineStr">
        <is>
          <t>JÖNKÖPINGS LÄN</t>
        </is>
      </c>
      <c r="G89" t="inlineStr">
        <is>
          <t>GISLAVED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46257</v>
      </c>
      <c r="F90" t="inlineStr">
        <is>
          <t>JÖNKÖPINGS LÄN</t>
        </is>
      </c>
      <c r="G90" t="inlineStr">
        <is>
          <t>GISLAVED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12743-2025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45733</v>
      </c>
      <c r="E91" s="1" t="n">
        <v>46257</v>
      </c>
      <c r="F91" t="inlineStr">
        <is>
          <t>JÖNKÖPINGS LÄN</t>
        </is>
      </c>
      <c r="G91" t="inlineStr">
        <is>
          <t>GISLAVED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46257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46257</v>
      </c>
      <c r="F93" t="inlineStr">
        <is>
          <t>JÖNKÖPINGS LÄN</t>
        </is>
      </c>
      <c r="G93" t="inlineStr">
        <is>
          <t>GISLAVED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46257</v>
      </c>
      <c r="F94" t="inlineStr">
        <is>
          <t>JÖNKÖPINGS LÄN</t>
        </is>
      </c>
      <c r="G94" t="inlineStr">
        <is>
          <t>GISLAVED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46257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46257</v>
      </c>
      <c r="F96" t="inlineStr">
        <is>
          <t>JÖNKÖPINGS LÄN</t>
        </is>
      </c>
      <c r="G96" t="inlineStr">
        <is>
          <t>GISLAVED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46257</v>
      </c>
      <c r="F97" t="inlineStr">
        <is>
          <t>JÖNKÖPINGS LÄN</t>
        </is>
      </c>
      <c r="G97" t="inlineStr">
        <is>
          <t>GISLAVED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46257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46257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44952</v>
      </c>
      <c r="E100" s="1" t="n">
        <v>46257</v>
      </c>
      <c r="F100" t="inlineStr">
        <is>
          <t>JÖNKÖPINGS LÄN</t>
        </is>
      </c>
      <c r="G100" t="inlineStr">
        <is>
          <t>GISLAVED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46257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46257</v>
      </c>
      <c r="F102" t="inlineStr">
        <is>
          <t>JÖNKÖPINGS LÄN</t>
        </is>
      </c>
      <c r="G102" t="inlineStr">
        <is>
          <t>GISLAVED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46257</v>
      </c>
      <c r="F103" t="inlineStr">
        <is>
          <t>JÖNKÖPINGS LÄN</t>
        </is>
      </c>
      <c r="G103" t="inlineStr">
        <is>
          <t>GISLAVED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46257</v>
      </c>
      <c r="F104" t="inlineStr">
        <is>
          <t>JÖNKÖPINGS LÄN</t>
        </is>
      </c>
      <c r="G104" t="inlineStr">
        <is>
          <t>GISLAVED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46257</v>
      </c>
      <c r="F105" t="inlineStr">
        <is>
          <t>JÖNKÖPINGS LÄN</t>
        </is>
      </c>
      <c r="G105" t="inlineStr">
        <is>
          <t>GISLAVED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46257</v>
      </c>
      <c r="F106" t="inlineStr">
        <is>
          <t>JÖNKÖPINGS LÄN</t>
        </is>
      </c>
      <c r="G106" t="inlineStr">
        <is>
          <t>GISLAVED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46257</v>
      </c>
      <c r="F107" t="inlineStr">
        <is>
          <t>JÖNKÖPINGS LÄN</t>
        </is>
      </c>
      <c r="G107" t="inlineStr">
        <is>
          <t>GISLAVED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73154-2021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46257</v>
      </c>
      <c r="F108" t="inlineStr">
        <is>
          <t>JÖNKÖPINGS LÄN</t>
        </is>
      </c>
      <c r="G108" t="inlineStr">
        <is>
          <t>GISLAVED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46257</v>
      </c>
      <c r="F109" t="inlineStr">
        <is>
          <t>JÖNKÖPINGS LÄN</t>
        </is>
      </c>
      <c r="G109" t="inlineStr">
        <is>
          <t>GISLAVED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46257</v>
      </c>
      <c r="F110" t="inlineStr">
        <is>
          <t>JÖNKÖPINGS LÄN</t>
        </is>
      </c>
      <c r="G110" t="inlineStr">
        <is>
          <t>GISLAVED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46257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46257</v>
      </c>
      <c r="F112" t="inlineStr">
        <is>
          <t>JÖNKÖPINGS LÄN</t>
        </is>
      </c>
      <c r="G112" t="inlineStr">
        <is>
          <t>GISLAVED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46257</v>
      </c>
      <c r="F113" t="inlineStr">
        <is>
          <t>JÖNKÖPINGS LÄN</t>
        </is>
      </c>
      <c r="G113" t="inlineStr">
        <is>
          <t>GISLAVED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46257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46257</v>
      </c>
      <c r="F115" t="inlineStr">
        <is>
          <t>JÖNKÖPINGS LÄN</t>
        </is>
      </c>
      <c r="G115" t="inlineStr">
        <is>
          <t>GISLAVED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46257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46257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46257</v>
      </c>
      <c r="F118" t="inlineStr">
        <is>
          <t>JÖNKÖPINGS LÄN</t>
        </is>
      </c>
      <c r="G118" t="inlineStr">
        <is>
          <t>GISLAVED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46257</v>
      </c>
      <c r="F119" t="inlineStr">
        <is>
          <t>JÖNKÖPINGS LÄN</t>
        </is>
      </c>
      <c r="G119" t="inlineStr">
        <is>
          <t>GISLAVED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46257</v>
      </c>
      <c r="F120" t="inlineStr">
        <is>
          <t>JÖNKÖPINGS LÄN</t>
        </is>
      </c>
      <c r="G120" t="inlineStr">
        <is>
          <t>GISLAVED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46257</v>
      </c>
      <c r="F121" t="inlineStr">
        <is>
          <t>JÖNKÖPINGS LÄN</t>
        </is>
      </c>
      <c r="G121" t="inlineStr">
        <is>
          <t>GISLAVED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46257</v>
      </c>
      <c r="F122" t="inlineStr">
        <is>
          <t>JÖNKÖPINGS LÄN</t>
        </is>
      </c>
      <c r="G122" t="inlineStr">
        <is>
          <t>GISLAVED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46257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46257</v>
      </c>
      <c r="F124" t="inlineStr">
        <is>
          <t>JÖNKÖPINGS LÄN</t>
        </is>
      </c>
      <c r="G124" t="inlineStr">
        <is>
          <t>GISLAVED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46257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72035-2021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46257</v>
      </c>
      <c r="F126" t="inlineStr">
        <is>
          <t>JÖNKÖPINGS LÄN</t>
        </is>
      </c>
      <c r="G126" t="inlineStr">
        <is>
          <t>GISLAVED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73153-2021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46257</v>
      </c>
      <c r="F127" t="inlineStr">
        <is>
          <t>JÖNKÖPINGS LÄN</t>
        </is>
      </c>
      <c r="G127" t="inlineStr">
        <is>
          <t>GISLAVED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45198</v>
      </c>
      <c r="E128" s="1" t="n">
        <v>46257</v>
      </c>
      <c r="F128" t="inlineStr">
        <is>
          <t>JÖNKÖPINGS LÄN</t>
        </is>
      </c>
      <c r="G128" t="inlineStr">
        <is>
          <t>GISLAVED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46257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46257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46257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46257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46257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46257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46257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44945</v>
      </c>
      <c r="E136" s="1" t="n">
        <v>46257</v>
      </c>
      <c r="F136" t="inlineStr">
        <is>
          <t>JÖNKÖPINGS LÄN</t>
        </is>
      </c>
      <c r="G136" t="inlineStr">
        <is>
          <t>GISLAVED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46257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44501</v>
      </c>
      <c r="E138" s="1" t="n">
        <v>46257</v>
      </c>
      <c r="F138" t="inlineStr">
        <is>
          <t>JÖNKÖPINGS LÄN</t>
        </is>
      </c>
      <c r="G138" t="inlineStr">
        <is>
          <t>GISLAVED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45212</v>
      </c>
      <c r="E139" s="1" t="n">
        <v>46257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46257</v>
      </c>
      <c r="F140" t="inlineStr">
        <is>
          <t>JÖNKÖPINGS LÄN</t>
        </is>
      </c>
      <c r="G140" t="inlineStr">
        <is>
          <t>GISLAVED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46257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46257</v>
      </c>
      <c r="F142" t="inlineStr">
        <is>
          <t>JÖNKÖPINGS LÄN</t>
        </is>
      </c>
      <c r="G142" t="inlineStr">
        <is>
          <t>GISLAVED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44588</v>
      </c>
      <c r="E143" s="1" t="n">
        <v>46257</v>
      </c>
      <c r="F143" t="inlineStr">
        <is>
          <t>JÖNKÖPINGS LÄN</t>
        </is>
      </c>
      <c r="G143" t="inlineStr">
        <is>
          <t>GISLAVED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46257</v>
      </c>
      <c r="F144" t="inlineStr">
        <is>
          <t>JÖNKÖPINGS LÄN</t>
        </is>
      </c>
      <c r="G144" t="inlineStr">
        <is>
          <t>GISLAVED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46257</v>
      </c>
      <c r="F145" t="inlineStr">
        <is>
          <t>JÖNKÖPINGS LÄN</t>
        </is>
      </c>
      <c r="G145" t="inlineStr">
        <is>
          <t>GISLAVED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44803</v>
      </c>
      <c r="E146" s="1" t="n">
        <v>46257</v>
      </c>
      <c r="F146" t="inlineStr">
        <is>
          <t>JÖNKÖPINGS LÄN</t>
        </is>
      </c>
      <c r="G146" t="inlineStr">
        <is>
          <t>GISLAVED</t>
        </is>
      </c>
      <c r="H146" t="inlineStr">
        <is>
          <t>Kyrkan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46257</v>
      </c>
      <c r="F147" t="inlineStr">
        <is>
          <t>JÖNKÖPINGS LÄN</t>
        </is>
      </c>
      <c r="G147" t="inlineStr">
        <is>
          <t>GISLAVED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46257</v>
      </c>
      <c r="F148" t="inlineStr">
        <is>
          <t>JÖNKÖPINGS LÄN</t>
        </is>
      </c>
      <c r="G148" t="inlineStr">
        <is>
          <t>GISLAVED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46257</v>
      </c>
      <c r="F149" t="inlineStr">
        <is>
          <t>JÖNKÖPINGS LÄN</t>
        </is>
      </c>
      <c r="G149" t="inlineStr">
        <is>
          <t>GISLAVED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46257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46257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46257</v>
      </c>
      <c r="F152" t="inlineStr">
        <is>
          <t>JÖNKÖPINGS LÄN</t>
        </is>
      </c>
      <c r="G152" t="inlineStr">
        <is>
          <t>GISLAVED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46257</v>
      </c>
      <c r="F153" t="inlineStr">
        <is>
          <t>JÖNKÖPINGS LÄN</t>
        </is>
      </c>
      <c r="G153" t="inlineStr">
        <is>
          <t>GISLAVED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46257</v>
      </c>
      <c r="F154" t="inlineStr">
        <is>
          <t>JÖNKÖPINGS LÄN</t>
        </is>
      </c>
      <c r="G154" t="inlineStr">
        <is>
          <t>GISLAVED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46257</v>
      </c>
      <c r="F155" t="inlineStr">
        <is>
          <t>JÖNKÖPINGS LÄN</t>
        </is>
      </c>
      <c r="G155" t="inlineStr">
        <is>
          <t>GISLAVED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46257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46257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46257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45753</v>
      </c>
      <c r="E159" s="1" t="n">
        <v>46257</v>
      </c>
      <c r="F159" t="inlineStr">
        <is>
          <t>JÖNKÖPINGS LÄN</t>
        </is>
      </c>
      <c r="G159" t="inlineStr">
        <is>
          <t>GISLAVED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46257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46257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46257</v>
      </c>
      <c r="F162" t="inlineStr">
        <is>
          <t>JÖNKÖPINGS LÄN</t>
        </is>
      </c>
      <c r="G162" t="inlineStr">
        <is>
          <t>GISLAVED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46257</v>
      </c>
      <c r="F163" t="inlineStr">
        <is>
          <t>JÖNKÖPINGS LÄN</t>
        </is>
      </c>
      <c r="G163" t="inlineStr">
        <is>
          <t>GISLAVED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45093</v>
      </c>
      <c r="E164" s="1" t="n">
        <v>46257</v>
      </c>
      <c r="F164" t="inlineStr">
        <is>
          <t>JÖNKÖPINGS LÄN</t>
        </is>
      </c>
      <c r="G164" t="inlineStr">
        <is>
          <t>GISLAVED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46257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46257</v>
      </c>
      <c r="F166" t="inlineStr">
        <is>
          <t>JÖNKÖPINGS LÄN</t>
        </is>
      </c>
      <c r="G166" t="inlineStr">
        <is>
          <t>GISLAVED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46257</v>
      </c>
      <c r="F167" t="inlineStr">
        <is>
          <t>JÖNKÖPINGS LÄN</t>
        </is>
      </c>
      <c r="G167" t="inlineStr">
        <is>
          <t>GISLAVED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46257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46257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46257</v>
      </c>
      <c r="F170" t="inlineStr">
        <is>
          <t>JÖNKÖPINGS LÄN</t>
        </is>
      </c>
      <c r="G170" t="inlineStr">
        <is>
          <t>GISLAVED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46257</v>
      </c>
      <c r="F171" t="inlineStr">
        <is>
          <t>JÖNKÖPINGS LÄN</t>
        </is>
      </c>
      <c r="G171" t="inlineStr">
        <is>
          <t>GISLAVED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44624</v>
      </c>
      <c r="E172" s="1" t="n">
        <v>46257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46257</v>
      </c>
      <c r="F173" t="inlineStr">
        <is>
          <t>JÖNKÖPINGS LÄN</t>
        </is>
      </c>
      <c r="G173" t="inlineStr">
        <is>
          <t>GISLAVED</t>
        </is>
      </c>
      <c r="H173" t="inlineStr">
        <is>
          <t>Kyrkan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45908</v>
      </c>
      <c r="E174" s="1" t="n">
        <v>46257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46257</v>
      </c>
      <c r="F175" t="inlineStr">
        <is>
          <t>JÖNKÖPINGS LÄN</t>
        </is>
      </c>
      <c r="G175" t="inlineStr">
        <is>
          <t>GISLAVED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45585</v>
      </c>
      <c r="E176" s="1" t="n">
        <v>46257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42602-2025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45905</v>
      </c>
      <c r="E177" s="1" t="n">
        <v>46257</v>
      </c>
      <c r="F177" t="inlineStr">
        <is>
          <t>JÖNKÖPINGS LÄN</t>
        </is>
      </c>
      <c r="G177" t="inlineStr">
        <is>
          <t>GISLAVED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46257</v>
      </c>
      <c r="F178" t="inlineStr">
        <is>
          <t>JÖNKÖPINGS LÄN</t>
        </is>
      </c>
      <c r="G178" t="inlineStr">
        <is>
          <t>GISLAVED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46257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45682</v>
      </c>
      <c r="E180" s="1" t="n">
        <v>46257</v>
      </c>
      <c r="F180" t="inlineStr">
        <is>
          <t>JÖNKÖPINGS LÄN</t>
        </is>
      </c>
      <c r="G180" t="inlineStr">
        <is>
          <t>GISLAVED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46257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46257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46257</v>
      </c>
      <c r="F183" t="inlineStr">
        <is>
          <t>JÖNKÖPINGS LÄN</t>
        </is>
      </c>
      <c r="G183" t="inlineStr">
        <is>
          <t>GISLAVED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46257</v>
      </c>
      <c r="F184" t="inlineStr">
        <is>
          <t>JÖNKÖPINGS LÄN</t>
        </is>
      </c>
      <c r="G184" t="inlineStr">
        <is>
          <t>GISLAVED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46257</v>
      </c>
      <c r="F185" t="inlineStr">
        <is>
          <t>JÖNKÖPINGS LÄN</t>
        </is>
      </c>
      <c r="G185" t="inlineStr">
        <is>
          <t>GISLAVED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46257</v>
      </c>
      <c r="F186" t="inlineStr">
        <is>
          <t>JÖNKÖPINGS LÄN</t>
        </is>
      </c>
      <c r="G186" t="inlineStr">
        <is>
          <t>GISLAVED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46257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46257</v>
      </c>
      <c r="F188" t="inlineStr">
        <is>
          <t>JÖNKÖPINGS LÄN</t>
        </is>
      </c>
      <c r="G188" t="inlineStr">
        <is>
          <t>GISLAVED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46257</v>
      </c>
      <c r="F189" t="inlineStr">
        <is>
          <t>JÖNKÖPINGS LÄN</t>
        </is>
      </c>
      <c r="G189" t="inlineStr">
        <is>
          <t>GISLAVED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46257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46257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46257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46257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46257</v>
      </c>
      <c r="F194" t="inlineStr">
        <is>
          <t>JÖNKÖPINGS LÄN</t>
        </is>
      </c>
      <c r="G194" t="inlineStr">
        <is>
          <t>GISLAVED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46257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46257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46257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46257</v>
      </c>
      <c r="F198" t="inlineStr">
        <is>
          <t>JÖNKÖPINGS LÄN</t>
        </is>
      </c>
      <c r="G198" t="inlineStr">
        <is>
          <t>GISLAVED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46257</v>
      </c>
      <c r="F199" t="inlineStr">
        <is>
          <t>JÖNKÖPINGS LÄN</t>
        </is>
      </c>
      <c r="G199" t="inlineStr">
        <is>
          <t>GISLAVED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46257</v>
      </c>
      <c r="F200" t="inlineStr">
        <is>
          <t>JÖNKÖPINGS LÄN</t>
        </is>
      </c>
      <c r="G200" t="inlineStr">
        <is>
          <t>GISLAVED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46257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46257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46257</v>
      </c>
      <c r="F203" t="inlineStr">
        <is>
          <t>JÖNKÖPINGS LÄN</t>
        </is>
      </c>
      <c r="G203" t="inlineStr">
        <is>
          <t>GISLAVED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46257</v>
      </c>
      <c r="F204" t="inlineStr">
        <is>
          <t>JÖNKÖPINGS LÄN</t>
        </is>
      </c>
      <c r="G204" t="inlineStr">
        <is>
          <t>GISLAVED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34067-2022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44791</v>
      </c>
      <c r="E205" s="1" t="n">
        <v>46257</v>
      </c>
      <c r="F205" t="inlineStr">
        <is>
          <t>JÖNKÖPINGS LÄN</t>
        </is>
      </c>
      <c r="G205" t="inlineStr">
        <is>
          <t>GISLAVED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46257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44523</v>
      </c>
      <c r="E207" s="1" t="n">
        <v>46257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43645-2025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46257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44926</v>
      </c>
      <c r="E209" s="1" t="n">
        <v>46257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46257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46257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46257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46257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46257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46257</v>
      </c>
      <c r="F215" t="inlineStr">
        <is>
          <t>JÖNKÖPINGS LÄN</t>
        </is>
      </c>
      <c r="G215" t="inlineStr">
        <is>
          <t>GISLAVED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44894</v>
      </c>
      <c r="E216" s="1" t="n">
        <v>46257</v>
      </c>
      <c r="F216" t="inlineStr">
        <is>
          <t>JÖNKÖPINGS LÄN</t>
        </is>
      </c>
      <c r="G216" t="inlineStr">
        <is>
          <t>GISLAVED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45174</v>
      </c>
      <c r="E217" s="1" t="n">
        <v>46257</v>
      </c>
      <c r="F217" t="inlineStr">
        <is>
          <t>JÖNKÖPINGS LÄN</t>
        </is>
      </c>
      <c r="G217" t="inlineStr">
        <is>
          <t>GISLAVED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46257</v>
      </c>
      <c r="F218" t="inlineStr">
        <is>
          <t>JÖNKÖPINGS LÄN</t>
        </is>
      </c>
      <c r="G218" t="inlineStr">
        <is>
          <t>GISLAVED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46257</v>
      </c>
      <c r="F219" t="inlineStr">
        <is>
          <t>JÖNKÖPINGS LÄN</t>
        </is>
      </c>
      <c r="G219" t="inlineStr">
        <is>
          <t>GISLAVED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46257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46257</v>
      </c>
      <c r="F221" t="inlineStr">
        <is>
          <t>JÖNKÖPINGS LÄN</t>
        </is>
      </c>
      <c r="G221" t="inlineStr">
        <is>
          <t>GISLAVED</t>
        </is>
      </c>
      <c r="H221" t="inlineStr">
        <is>
          <t>Kommuner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46257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45176</v>
      </c>
      <c r="E223" s="1" t="n">
        <v>46257</v>
      </c>
      <c r="F223" t="inlineStr">
        <is>
          <t>JÖNKÖPINGS LÄN</t>
        </is>
      </c>
      <c r="G223" t="inlineStr">
        <is>
          <t>GISLAVED</t>
        </is>
      </c>
      <c r="H223" t="inlineStr">
        <is>
          <t>Kyrkan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44931</v>
      </c>
      <c r="E224" s="1" t="n">
        <v>46257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44853</v>
      </c>
      <c r="E225" s="1" t="n">
        <v>46257</v>
      </c>
      <c r="F225" t="inlineStr">
        <is>
          <t>JÖNKÖPINGS LÄN</t>
        </is>
      </c>
      <c r="G225" t="inlineStr">
        <is>
          <t>GISLAVED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45509</v>
      </c>
      <c r="E226" s="1" t="n">
        <v>46257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44651</v>
      </c>
      <c r="E227" s="1" t="n">
        <v>46257</v>
      </c>
      <c r="F227" t="inlineStr">
        <is>
          <t>JÖNKÖPINGS LÄN</t>
        </is>
      </c>
      <c r="G227" t="inlineStr">
        <is>
          <t>GISLAVED</t>
        </is>
      </c>
      <c r="H227" t="inlineStr">
        <is>
          <t>Kyrkan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46257</v>
      </c>
      <c r="F228" t="inlineStr">
        <is>
          <t>JÖNKÖPINGS LÄN</t>
        </is>
      </c>
      <c r="G228" t="inlineStr">
        <is>
          <t>GISLAVED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49682-2021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44455</v>
      </c>
      <c r="E229" s="1" t="n">
        <v>46257</v>
      </c>
      <c r="F229" t="inlineStr">
        <is>
          <t>JÖNKÖPINGS LÄN</t>
        </is>
      </c>
      <c r="G229" t="inlineStr">
        <is>
          <t>GISLAVED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46257</v>
      </c>
      <c r="F230" t="inlineStr">
        <is>
          <t>JÖNKÖPINGS LÄN</t>
        </is>
      </c>
      <c r="G230" t="inlineStr">
        <is>
          <t>GISLAVED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46257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46257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46257</v>
      </c>
      <c r="F233" t="inlineStr">
        <is>
          <t>JÖNKÖPINGS LÄN</t>
        </is>
      </c>
      <c r="G233" t="inlineStr">
        <is>
          <t>GISLAVED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45097</v>
      </c>
      <c r="E234" s="1" t="n">
        <v>46257</v>
      </c>
      <c r="F234" t="inlineStr">
        <is>
          <t>JÖNKÖPINGS LÄN</t>
        </is>
      </c>
      <c r="G234" t="inlineStr">
        <is>
          <t>GISLAVED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46257</v>
      </c>
      <c r="F235" t="inlineStr">
        <is>
          <t>JÖNKÖPINGS LÄN</t>
        </is>
      </c>
      <c r="G235" t="inlineStr">
        <is>
          <t>GISLAVED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46257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46257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46257</v>
      </c>
      <c r="F238" t="inlineStr">
        <is>
          <t>JÖNKÖPINGS LÄN</t>
        </is>
      </c>
      <c r="G238" t="inlineStr">
        <is>
          <t>GISLAVED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48283-2025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46257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46257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46257</v>
      </c>
      <c r="F241" t="inlineStr">
        <is>
          <t>JÖNKÖPINGS LÄN</t>
        </is>
      </c>
      <c r="G241" t="inlineStr">
        <is>
          <t>GISLAVED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44867</v>
      </c>
      <c r="E242" s="1" t="n">
        <v>46257</v>
      </c>
      <c r="F242" t="inlineStr">
        <is>
          <t>JÖNKÖPINGS LÄN</t>
        </is>
      </c>
      <c r="G242" t="inlineStr">
        <is>
          <t>GISLAVED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45680</v>
      </c>
      <c r="E243" s="1" t="n">
        <v>46257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46257</v>
      </c>
      <c r="F244" t="inlineStr">
        <is>
          <t>JÖNKÖPINGS LÄN</t>
        </is>
      </c>
      <c r="G244" t="inlineStr">
        <is>
          <t>GISLAVED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46257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46257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46257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46257</v>
      </c>
      <c r="F248" t="inlineStr">
        <is>
          <t>JÖNKÖPINGS LÄN</t>
        </is>
      </c>
      <c r="G248" t="inlineStr">
        <is>
          <t>GISLAVED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44578</v>
      </c>
      <c r="E249" s="1" t="n">
        <v>46257</v>
      </c>
      <c r="F249" t="inlineStr">
        <is>
          <t>JÖNKÖPINGS LÄN</t>
        </is>
      </c>
      <c r="G249" t="inlineStr">
        <is>
          <t>GISLAVED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46257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45503</v>
      </c>
      <c r="E251" s="1" t="n">
        <v>46257</v>
      </c>
      <c r="F251" t="inlineStr">
        <is>
          <t>JÖNKÖPINGS LÄN</t>
        </is>
      </c>
      <c r="G251" t="inlineStr">
        <is>
          <t>GISLAVED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45599</v>
      </c>
      <c r="E252" s="1" t="n">
        <v>46257</v>
      </c>
      <c r="F252" t="inlineStr">
        <is>
          <t>JÖNKÖPINGS LÄN</t>
        </is>
      </c>
      <c r="G252" t="inlineStr">
        <is>
          <t>GISLAVED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46257</v>
      </c>
      <c r="F253" t="inlineStr">
        <is>
          <t>JÖNKÖPINGS LÄN</t>
        </is>
      </c>
      <c r="G253" t="inlineStr">
        <is>
          <t>GISLAVED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46257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46257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46257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46257</v>
      </c>
      <c r="F257" t="inlineStr">
        <is>
          <t>JÖNKÖPINGS LÄN</t>
        </is>
      </c>
      <c r="G257" t="inlineStr">
        <is>
          <t>GISLAVED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46257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46257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45404</v>
      </c>
      <c r="E260" s="1" t="n">
        <v>46257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46257</v>
      </c>
      <c r="F261" t="inlineStr">
        <is>
          <t>JÖNKÖPINGS LÄN</t>
        </is>
      </c>
      <c r="G261" t="inlineStr">
        <is>
          <t>GISLAVED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46257</v>
      </c>
      <c r="F262" t="inlineStr">
        <is>
          <t>JÖNKÖPINGS LÄN</t>
        </is>
      </c>
      <c r="G262" t="inlineStr">
        <is>
          <t>GISLAVED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46257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45235</v>
      </c>
      <c r="E264" s="1" t="n">
        <v>46257</v>
      </c>
      <c r="F264" t="inlineStr">
        <is>
          <t>JÖNKÖPINGS LÄN</t>
        </is>
      </c>
      <c r="G264" t="inlineStr">
        <is>
          <t>GISLAVED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44432</v>
      </c>
      <c r="E265" s="1" t="n">
        <v>46257</v>
      </c>
      <c r="F265" t="inlineStr">
        <is>
          <t>JÖNKÖPINGS LÄN</t>
        </is>
      </c>
      <c r="G265" t="inlineStr">
        <is>
          <t>GISLAVED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45675</v>
      </c>
      <c r="E266" s="1" t="n">
        <v>46257</v>
      </c>
      <c r="F266" t="inlineStr">
        <is>
          <t>JÖNKÖPINGS LÄN</t>
        </is>
      </c>
      <c r="G266" t="inlineStr">
        <is>
          <t>GISLAVED</t>
        </is>
      </c>
      <c r="H266" t="inlineStr">
        <is>
          <t>Kommuner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48202-2021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44449</v>
      </c>
      <c r="E267" s="1" t="n">
        <v>46257</v>
      </c>
      <c r="F267" t="inlineStr">
        <is>
          <t>JÖNKÖPINGS LÄN</t>
        </is>
      </c>
      <c r="G267" t="inlineStr">
        <is>
          <t>GISLAVED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46257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46257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46257</v>
      </c>
      <c r="F270" t="inlineStr">
        <is>
          <t>JÖNKÖPINGS LÄN</t>
        </is>
      </c>
      <c r="G270" t="inlineStr">
        <is>
          <t>GISLAVED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46257</v>
      </c>
      <c r="F271" t="inlineStr">
        <is>
          <t>JÖNKÖPINGS LÄN</t>
        </is>
      </c>
      <c r="G271" t="inlineStr">
        <is>
          <t>GISLAVED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46257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46257</v>
      </c>
      <c r="F273" t="inlineStr">
        <is>
          <t>JÖNKÖPINGS LÄN</t>
        </is>
      </c>
      <c r="G273" t="inlineStr">
        <is>
          <t>GISLAVED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46257</v>
      </c>
      <c r="F274" t="inlineStr">
        <is>
          <t>JÖNKÖPINGS LÄN</t>
        </is>
      </c>
      <c r="G274" t="inlineStr">
        <is>
          <t>GISLAVED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44853</v>
      </c>
      <c r="E275" s="1" t="n">
        <v>46257</v>
      </c>
      <c r="F275" t="inlineStr">
        <is>
          <t>JÖNKÖPINGS LÄN</t>
        </is>
      </c>
      <c r="G275" t="inlineStr">
        <is>
          <t>GISLAVED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43622-2021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44433</v>
      </c>
      <c r="E276" s="1" t="n">
        <v>46257</v>
      </c>
      <c r="F276" t="inlineStr">
        <is>
          <t>JÖNKÖPINGS LÄN</t>
        </is>
      </c>
      <c r="G276" t="inlineStr">
        <is>
          <t>GISLAVED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46257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74259-2021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44558</v>
      </c>
      <c r="E278" s="1" t="n">
        <v>46257</v>
      </c>
      <c r="F278" t="inlineStr">
        <is>
          <t>JÖNKÖPINGS LÄN</t>
        </is>
      </c>
      <c r="G278" t="inlineStr">
        <is>
          <t>GISLAVED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32989-2024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45517</v>
      </c>
      <c r="E279" s="1" t="n">
        <v>46257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45174</v>
      </c>
      <c r="E280" s="1" t="n">
        <v>46257</v>
      </c>
      <c r="F280" t="inlineStr">
        <is>
          <t>JÖNKÖPINGS LÄN</t>
        </is>
      </c>
      <c r="G280" t="inlineStr">
        <is>
          <t>GISLAVED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46257</v>
      </c>
      <c r="F281" t="inlineStr">
        <is>
          <t>JÖNKÖPINGS LÄN</t>
        </is>
      </c>
      <c r="G281" t="inlineStr">
        <is>
          <t>GISLAVED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46257</v>
      </c>
      <c r="F282" t="inlineStr">
        <is>
          <t>JÖNKÖPINGS LÄN</t>
        </is>
      </c>
      <c r="G282" t="inlineStr">
        <is>
          <t>GISLAVED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46257</v>
      </c>
      <c r="F283" t="inlineStr">
        <is>
          <t>JÖNKÖPINGS LÄN</t>
        </is>
      </c>
      <c r="G283" t="inlineStr">
        <is>
          <t>GISLAVED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45545</v>
      </c>
      <c r="E284" s="1" t="n">
        <v>46257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46257</v>
      </c>
      <c r="F285" t="inlineStr">
        <is>
          <t>JÖNKÖPINGS LÄN</t>
        </is>
      </c>
      <c r="G285" t="inlineStr">
        <is>
          <t>GISLAVED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46257</v>
      </c>
      <c r="F286" t="inlineStr">
        <is>
          <t>JÖNKÖPINGS LÄN</t>
        </is>
      </c>
      <c r="G286" t="inlineStr">
        <is>
          <t>GISLAVED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46257</v>
      </c>
      <c r="F287" t="inlineStr">
        <is>
          <t>JÖNKÖPINGS LÄN</t>
        </is>
      </c>
      <c r="G287" t="inlineStr">
        <is>
          <t>GISLAVED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46257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46257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46257</v>
      </c>
      <c r="F290" t="inlineStr">
        <is>
          <t>JÖNKÖPINGS LÄN</t>
        </is>
      </c>
      <c r="G290" t="inlineStr">
        <is>
          <t>GISLAVED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46257</v>
      </c>
      <c r="F291" t="inlineStr">
        <is>
          <t>JÖNKÖPINGS LÄN</t>
        </is>
      </c>
      <c r="G291" t="inlineStr">
        <is>
          <t>GISLAVED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46257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46257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46257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46257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46257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45482</v>
      </c>
      <c r="E297" s="1" t="n">
        <v>46257</v>
      </c>
      <c r="F297" t="inlineStr">
        <is>
          <t>JÖNKÖPINGS LÄN</t>
        </is>
      </c>
      <c r="G297" t="inlineStr">
        <is>
          <t>GISLAVED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46257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46257</v>
      </c>
      <c r="F299" t="inlineStr">
        <is>
          <t>JÖNKÖPINGS LÄN</t>
        </is>
      </c>
      <c r="G299" t="inlineStr">
        <is>
          <t>GISLAVED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46257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8560-2025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45709</v>
      </c>
      <c r="E301" s="1" t="n">
        <v>46257</v>
      </c>
      <c r="F301" t="inlineStr">
        <is>
          <t>JÖNKÖPINGS LÄN</t>
        </is>
      </c>
      <c r="G301" t="inlineStr">
        <is>
          <t>GISLAVED</t>
        </is>
      </c>
      <c r="H301" t="inlineStr">
        <is>
          <t>Kommuner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73908-2021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44553</v>
      </c>
      <c r="E302" s="1" t="n">
        <v>46257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54147-2025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46257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46257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45963</v>
      </c>
      <c r="E305" s="1" t="n">
        <v>46257</v>
      </c>
      <c r="F305" t="inlineStr">
        <is>
          <t>JÖNKÖPINGS LÄN</t>
        </is>
      </c>
      <c r="G305" t="inlineStr">
        <is>
          <t>GISLAVED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46257</v>
      </c>
      <c r="F306" t="inlineStr">
        <is>
          <t>JÖNKÖPINGS LÄN</t>
        </is>
      </c>
      <c r="G306" t="inlineStr">
        <is>
          <t>GISLAVED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46257</v>
      </c>
      <c r="F307" t="inlineStr">
        <is>
          <t>JÖNKÖPINGS LÄN</t>
        </is>
      </c>
      <c r="G307" t="inlineStr">
        <is>
          <t>GISLAVED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44931</v>
      </c>
      <c r="E308" s="1" t="n">
        <v>46257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46257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46257</v>
      </c>
      <c r="F310" t="inlineStr">
        <is>
          <t>JÖNKÖPINGS LÄN</t>
        </is>
      </c>
      <c r="G310" t="inlineStr">
        <is>
          <t>GISLAVED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45511</v>
      </c>
      <c r="E311" s="1" t="n">
        <v>46257</v>
      </c>
      <c r="F311" t="inlineStr">
        <is>
          <t>JÖNKÖPINGS LÄN</t>
        </is>
      </c>
      <c r="G311" t="inlineStr">
        <is>
          <t>GISLAVED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44986</v>
      </c>
      <c r="E312" s="1" t="n">
        <v>46257</v>
      </c>
      <c r="F312" t="inlineStr">
        <is>
          <t>JÖNKÖPINGS LÄN</t>
        </is>
      </c>
      <c r="G312" t="inlineStr">
        <is>
          <t>GISLAVED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44497</v>
      </c>
      <c r="E313" s="1" t="n">
        <v>46257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44931</v>
      </c>
      <c r="E314" s="1" t="n">
        <v>46257</v>
      </c>
      <c r="F314" t="inlineStr">
        <is>
          <t>JÖNKÖPINGS LÄN</t>
        </is>
      </c>
      <c r="G314" t="inlineStr">
        <is>
          <t>GISLAVED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46257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46257</v>
      </c>
      <c r="F316" t="inlineStr">
        <is>
          <t>JÖNKÖPINGS LÄN</t>
        </is>
      </c>
      <c r="G316" t="inlineStr">
        <is>
          <t>GISLAVED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46257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46257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46257</v>
      </c>
      <c r="F319" t="inlineStr">
        <is>
          <t>JÖNKÖPINGS LÄN</t>
        </is>
      </c>
      <c r="G319" t="inlineStr">
        <is>
          <t>GISLAVED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44883</v>
      </c>
      <c r="E320" s="1" t="n">
        <v>46257</v>
      </c>
      <c r="F320" t="inlineStr">
        <is>
          <t>JÖNKÖPINGS LÄN</t>
        </is>
      </c>
      <c r="G320" t="inlineStr">
        <is>
          <t>GISLAVED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46257</v>
      </c>
      <c r="F321" t="inlineStr">
        <is>
          <t>JÖNKÖPINGS LÄN</t>
        </is>
      </c>
      <c r="G321" t="inlineStr">
        <is>
          <t>GISLAVED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46257</v>
      </c>
      <c r="F322" t="inlineStr">
        <is>
          <t>JÖNKÖPINGS LÄN</t>
        </is>
      </c>
      <c r="G322" t="inlineStr">
        <is>
          <t>GISLAVED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46257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45484</v>
      </c>
      <c r="E324" s="1" t="n">
        <v>46257</v>
      </c>
      <c r="F324" t="inlineStr">
        <is>
          <t>JÖNKÖPINGS LÄN</t>
        </is>
      </c>
      <c r="G324" t="inlineStr">
        <is>
          <t>GISLAVED</t>
        </is>
      </c>
      <c r="H324" t="inlineStr">
        <is>
          <t>Kyrkan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46257</v>
      </c>
      <c r="F325" t="inlineStr">
        <is>
          <t>JÖNKÖPINGS LÄN</t>
        </is>
      </c>
      <c r="G325" t="inlineStr">
        <is>
          <t>GISLAVED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44923</v>
      </c>
      <c r="E326" s="1" t="n">
        <v>46257</v>
      </c>
      <c r="F326" t="inlineStr">
        <is>
          <t>JÖNKÖPINGS LÄN</t>
        </is>
      </c>
      <c r="G326" t="inlineStr">
        <is>
          <t>GISLAVED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46257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46257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46257</v>
      </c>
      <c r="F329" t="inlineStr">
        <is>
          <t>JÖNKÖPINGS LÄN</t>
        </is>
      </c>
      <c r="G329" t="inlineStr">
        <is>
          <t>GISLAVED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46257</v>
      </c>
      <c r="F330" t="inlineStr">
        <is>
          <t>JÖNKÖPINGS LÄN</t>
        </is>
      </c>
      <c r="G330" t="inlineStr">
        <is>
          <t>GISLAVED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46257</v>
      </c>
      <c r="F331" t="inlineStr">
        <is>
          <t>JÖNKÖPINGS LÄN</t>
        </is>
      </c>
      <c r="G331" t="inlineStr">
        <is>
          <t>GISLAVED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46257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46257</v>
      </c>
      <c r="F333" t="inlineStr">
        <is>
          <t>JÖNKÖPINGS LÄN</t>
        </is>
      </c>
      <c r="G333" t="inlineStr">
        <is>
          <t>GISLAVED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46257</v>
      </c>
      <c r="F334" t="inlineStr">
        <is>
          <t>JÖNKÖPINGS LÄN</t>
        </is>
      </c>
      <c r="G334" t="inlineStr">
        <is>
          <t>GISLAVED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46257</v>
      </c>
      <c r="F335" t="inlineStr">
        <is>
          <t>JÖNKÖPINGS LÄN</t>
        </is>
      </c>
      <c r="G335" t="inlineStr">
        <is>
          <t>GISLAVED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46257</v>
      </c>
      <c r="F336" t="inlineStr">
        <is>
          <t>JÖNKÖPINGS LÄN</t>
        </is>
      </c>
      <c r="G336" t="inlineStr">
        <is>
          <t>GISLAVED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46257</v>
      </c>
      <c r="F337" t="inlineStr">
        <is>
          <t>JÖNKÖPINGS LÄN</t>
        </is>
      </c>
      <c r="G337" t="inlineStr">
        <is>
          <t>GISLAVED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46257</v>
      </c>
      <c r="F338" t="inlineStr">
        <is>
          <t>JÖNKÖPINGS LÄN</t>
        </is>
      </c>
      <c r="G338" t="inlineStr">
        <is>
          <t>GISLAVED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46257</v>
      </c>
      <c r="F339" t="inlineStr">
        <is>
          <t>JÖNKÖPINGS LÄN</t>
        </is>
      </c>
      <c r="G339" t="inlineStr">
        <is>
          <t>GISLAVED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46257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46257</v>
      </c>
      <c r="F341" t="inlineStr">
        <is>
          <t>JÖNKÖPINGS LÄN</t>
        </is>
      </c>
      <c r="G341" t="inlineStr">
        <is>
          <t>GISLAVED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46257</v>
      </c>
      <c r="F342" t="inlineStr">
        <is>
          <t>JÖNKÖPINGS LÄN</t>
        </is>
      </c>
      <c r="G342" t="inlineStr">
        <is>
          <t>GISLAVED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46257</v>
      </c>
      <c r="F343" t="inlineStr">
        <is>
          <t>JÖNKÖPINGS LÄN</t>
        </is>
      </c>
      <c r="G343" t="inlineStr">
        <is>
          <t>GISLAVED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46257</v>
      </c>
      <c r="F344" t="inlineStr">
        <is>
          <t>JÖNKÖPINGS LÄN</t>
        </is>
      </c>
      <c r="G344" t="inlineStr">
        <is>
          <t>GISLAVED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46257</v>
      </c>
      <c r="F345" t="inlineStr">
        <is>
          <t>JÖNKÖPINGS LÄN</t>
        </is>
      </c>
      <c r="G345" t="inlineStr">
        <is>
          <t>GISLAVED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46257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46257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46257</v>
      </c>
      <c r="F348" t="inlineStr">
        <is>
          <t>JÖNKÖPINGS LÄN</t>
        </is>
      </c>
      <c r="G348" t="inlineStr">
        <is>
          <t>GISLAVED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46257</v>
      </c>
      <c r="F349" t="inlineStr">
        <is>
          <t>JÖNKÖPINGS LÄN</t>
        </is>
      </c>
      <c r="G349" t="inlineStr">
        <is>
          <t>GISLAVED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46257</v>
      </c>
      <c r="F350" t="inlineStr">
        <is>
          <t>JÖNKÖPINGS LÄN</t>
        </is>
      </c>
      <c r="G350" t="inlineStr">
        <is>
          <t>GISLAVED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46257</v>
      </c>
      <c r="F351" t="inlineStr">
        <is>
          <t>JÖNKÖPINGS LÄN</t>
        </is>
      </c>
      <c r="G351" t="inlineStr">
        <is>
          <t>GISLAVED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46257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46257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46257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46257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46257</v>
      </c>
      <c r="F356" t="inlineStr">
        <is>
          <t>JÖNKÖPINGS LÄN</t>
        </is>
      </c>
      <c r="G356" t="inlineStr">
        <is>
          <t>GISLAVED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46257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46257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46257</v>
      </c>
      <c r="F359" t="inlineStr">
        <is>
          <t>JÖNKÖPINGS LÄN</t>
        </is>
      </c>
      <c r="G359" t="inlineStr">
        <is>
          <t>GISLAVED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46257</v>
      </c>
      <c r="F360" t="inlineStr">
        <is>
          <t>JÖNKÖPINGS LÄN</t>
        </is>
      </c>
      <c r="G360" t="inlineStr">
        <is>
          <t>GISLAVED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46257</v>
      </c>
      <c r="F361" t="inlineStr">
        <is>
          <t>JÖNKÖPINGS LÄN</t>
        </is>
      </c>
      <c r="G361" t="inlineStr">
        <is>
          <t>GISLAVED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46257</v>
      </c>
      <c r="F362" t="inlineStr">
        <is>
          <t>JÖNKÖPINGS LÄN</t>
        </is>
      </c>
      <c r="G362" t="inlineStr">
        <is>
          <t>GISLAVED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46257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46257</v>
      </c>
      <c r="F364" t="inlineStr">
        <is>
          <t>JÖNKÖPINGS LÄN</t>
        </is>
      </c>
      <c r="G364" t="inlineStr">
        <is>
          <t>GISLAVED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46257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46257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58955-2021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44489</v>
      </c>
      <c r="E367" s="1" t="n">
        <v>46257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46257</v>
      </c>
      <c r="F368" t="inlineStr">
        <is>
          <t>JÖNKÖPINGS LÄN</t>
        </is>
      </c>
      <c r="G368" t="inlineStr">
        <is>
          <t>GISLAVED</t>
        </is>
      </c>
      <c r="H368" t="inlineStr">
        <is>
          <t>Kommuner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49590-2021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44455</v>
      </c>
      <c r="E369" s="1" t="n">
        <v>46257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46257</v>
      </c>
      <c r="F370" t="inlineStr">
        <is>
          <t>JÖNKÖPINGS LÄN</t>
        </is>
      </c>
      <c r="G370" t="inlineStr">
        <is>
          <t>GISLAVED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49956-2021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44456</v>
      </c>
      <c r="E371" s="1" t="n">
        <v>46257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46257</v>
      </c>
      <c r="F372" t="inlineStr">
        <is>
          <t>JÖNKÖPINGS LÄN</t>
        </is>
      </c>
      <c r="G372" t="inlineStr">
        <is>
          <t>GISLAVED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46257</v>
      </c>
      <c r="F373" t="inlineStr">
        <is>
          <t>JÖNKÖPINGS LÄN</t>
        </is>
      </c>
      <c r="G373" t="inlineStr">
        <is>
          <t>GISLAVED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45159</v>
      </c>
      <c r="E374" s="1" t="n">
        <v>46257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46257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46257</v>
      </c>
      <c r="F376" t="inlineStr">
        <is>
          <t>JÖNKÖPINGS LÄN</t>
        </is>
      </c>
      <c r="G376" t="inlineStr">
        <is>
          <t>GISLAVED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45009</v>
      </c>
      <c r="E377" s="1" t="n">
        <v>46257</v>
      </c>
      <c r="F377" t="inlineStr">
        <is>
          <t>JÖNKÖPINGS LÄN</t>
        </is>
      </c>
      <c r="G377" t="inlineStr">
        <is>
          <t>GISLAVED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46257</v>
      </c>
      <c r="F378" t="inlineStr">
        <is>
          <t>JÖNKÖPINGS LÄN</t>
        </is>
      </c>
      <c r="G378" t="inlineStr">
        <is>
          <t>GISLAVED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45771</v>
      </c>
      <c r="E379" s="1" t="n">
        <v>46257</v>
      </c>
      <c r="F379" t="inlineStr">
        <is>
          <t>JÖNKÖPINGS LÄN</t>
        </is>
      </c>
      <c r="G379" t="inlineStr">
        <is>
          <t>GISLAVED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46257</v>
      </c>
      <c r="F380" t="inlineStr">
        <is>
          <t>JÖNKÖPINGS LÄN</t>
        </is>
      </c>
      <c r="G380" t="inlineStr">
        <is>
          <t>GISLAVED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46257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44866</v>
      </c>
      <c r="E382" s="1" t="n">
        <v>46257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44860</v>
      </c>
      <c r="E383" s="1" t="n">
        <v>46257</v>
      </c>
      <c r="F383" t="inlineStr">
        <is>
          <t>JÖNKÖPINGS LÄN</t>
        </is>
      </c>
      <c r="G383" t="inlineStr">
        <is>
          <t>GISLAVED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45235</v>
      </c>
      <c r="E384" s="1" t="n">
        <v>46257</v>
      </c>
      <c r="F384" t="inlineStr">
        <is>
          <t>JÖNKÖPINGS LÄN</t>
        </is>
      </c>
      <c r="G384" t="inlineStr">
        <is>
          <t>GISLAVED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46257</v>
      </c>
      <c r="F385" t="inlineStr">
        <is>
          <t>JÖNKÖPINGS LÄN</t>
        </is>
      </c>
      <c r="G385" t="inlineStr">
        <is>
          <t>GISLAVED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44588</v>
      </c>
      <c r="E386" s="1" t="n">
        <v>46257</v>
      </c>
      <c r="F386" t="inlineStr">
        <is>
          <t>JÖNKÖPINGS LÄN</t>
        </is>
      </c>
      <c r="G386" t="inlineStr">
        <is>
          <t>GISLAVED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65546-2021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44516</v>
      </c>
      <c r="E387" s="1" t="n">
        <v>46257</v>
      </c>
      <c r="F387" t="inlineStr">
        <is>
          <t>JÖNKÖPINGS LÄN</t>
        </is>
      </c>
      <c r="G387" t="inlineStr">
        <is>
          <t>GISLAVED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46257</v>
      </c>
      <c r="F388" t="inlineStr">
        <is>
          <t>JÖNKÖPINGS LÄN</t>
        </is>
      </c>
      <c r="G388" t="inlineStr">
        <is>
          <t>GISLAVED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44820</v>
      </c>
      <c r="E389" s="1" t="n">
        <v>46257</v>
      </c>
      <c r="F389" t="inlineStr">
        <is>
          <t>JÖNKÖPINGS LÄN</t>
        </is>
      </c>
      <c r="G389" t="inlineStr">
        <is>
          <t>GISLAVED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45498</v>
      </c>
      <c r="E390" s="1" t="n">
        <v>46257</v>
      </c>
      <c r="F390" t="inlineStr">
        <is>
          <t>JÖNKÖPINGS LÄN</t>
        </is>
      </c>
      <c r="G390" t="inlineStr">
        <is>
          <t>GISLAVED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16717-2025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45754</v>
      </c>
      <c r="E391" s="1" t="n">
        <v>46257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46257</v>
      </c>
      <c r="F392" t="inlineStr">
        <is>
          <t>JÖNKÖPINGS LÄN</t>
        </is>
      </c>
      <c r="G392" t="inlineStr">
        <is>
          <t>GISLAVED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44812</v>
      </c>
      <c r="E393" s="1" t="n">
        <v>46257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46257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46257</v>
      </c>
      <c r="F395" t="inlineStr">
        <is>
          <t>JÖNKÖPINGS LÄN</t>
        </is>
      </c>
      <c r="G395" t="inlineStr">
        <is>
          <t>GISLAVED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46257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57436-2022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46257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46257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44742-2023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45190</v>
      </c>
      <c r="E399" s="1" t="n">
        <v>46257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45678</v>
      </c>
      <c r="E400" s="1" t="n">
        <v>46257</v>
      </c>
      <c r="F400" t="inlineStr">
        <is>
          <t>JÖNKÖPINGS LÄN</t>
        </is>
      </c>
      <c r="G400" t="inlineStr">
        <is>
          <t>GISLAVED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56089-2024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45624</v>
      </c>
      <c r="E401" s="1" t="n">
        <v>46257</v>
      </c>
      <c r="F401" t="inlineStr">
        <is>
          <t>JÖNKÖPINGS LÄN</t>
        </is>
      </c>
      <c r="G401" t="inlineStr">
        <is>
          <t>GISLAVED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45042</v>
      </c>
      <c r="E402" s="1" t="n">
        <v>46257</v>
      </c>
      <c r="F402" t="inlineStr">
        <is>
          <t>JÖNKÖPINGS LÄN</t>
        </is>
      </c>
      <c r="G402" t="inlineStr">
        <is>
          <t>GISLAVED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44949</v>
      </c>
      <c r="E403" s="1" t="n">
        <v>46257</v>
      </c>
      <c r="F403" t="inlineStr">
        <is>
          <t>JÖNKÖPINGS LÄN</t>
        </is>
      </c>
      <c r="G403" t="inlineStr">
        <is>
          <t>GISLAVED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46257</v>
      </c>
      <c r="F404" t="inlineStr">
        <is>
          <t>JÖNKÖPINGS LÄN</t>
        </is>
      </c>
      <c r="G404" t="inlineStr">
        <is>
          <t>GISLAVED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61916-2021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44501</v>
      </c>
      <c r="E405" s="1" t="n">
        <v>46257</v>
      </c>
      <c r="F405" t="inlineStr">
        <is>
          <t>JÖNKÖPINGS LÄN</t>
        </is>
      </c>
      <c r="G405" t="inlineStr">
        <is>
          <t>GISLAVED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45863</v>
      </c>
      <c r="E406" s="1" t="n">
        <v>46257</v>
      </c>
      <c r="F406" t="inlineStr">
        <is>
          <t>JÖNKÖPINGS LÄN</t>
        </is>
      </c>
      <c r="G406" t="inlineStr">
        <is>
          <t>GISLAVED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46257</v>
      </c>
      <c r="F407" t="inlineStr">
        <is>
          <t>JÖNKÖPINGS LÄN</t>
        </is>
      </c>
      <c r="G407" t="inlineStr">
        <is>
          <t>GISLAVED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44581</v>
      </c>
      <c r="E408" s="1" t="n">
        <v>46257</v>
      </c>
      <c r="F408" t="inlineStr">
        <is>
          <t>JÖNKÖPINGS LÄN</t>
        </is>
      </c>
      <c r="G408" t="inlineStr">
        <is>
          <t>GISLAVED</t>
        </is>
      </c>
      <c r="H408" t="inlineStr">
        <is>
          <t>Kommuner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45155</v>
      </c>
      <c r="E409" s="1" t="n">
        <v>46257</v>
      </c>
      <c r="F409" t="inlineStr">
        <is>
          <t>JÖNKÖPINGS LÄN</t>
        </is>
      </c>
      <c r="G409" t="inlineStr">
        <is>
          <t>GISLAVED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46257</v>
      </c>
      <c r="F410" t="inlineStr">
        <is>
          <t>JÖNKÖPINGS LÄN</t>
        </is>
      </c>
      <c r="G410" t="inlineStr">
        <is>
          <t>GISLAVED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46257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46257</v>
      </c>
      <c r="F412" t="inlineStr">
        <is>
          <t>JÖNKÖPINGS LÄN</t>
        </is>
      </c>
      <c r="G412" t="inlineStr">
        <is>
          <t>GISLAVED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46257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46257</v>
      </c>
      <c r="F414" t="inlineStr">
        <is>
          <t>JÖNKÖPINGS LÄN</t>
        </is>
      </c>
      <c r="G414" t="inlineStr">
        <is>
          <t>GISLAVED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62762-2022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44926</v>
      </c>
      <c r="E415" s="1" t="n">
        <v>46257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44563</v>
      </c>
      <c r="E416" s="1" t="n">
        <v>46257</v>
      </c>
      <c r="F416" t="inlineStr">
        <is>
          <t>JÖNKÖPINGS LÄN</t>
        </is>
      </c>
      <c r="G416" t="inlineStr">
        <is>
          <t>GISLAVED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46257</v>
      </c>
      <c r="F417" t="inlineStr">
        <is>
          <t>JÖNKÖPINGS LÄN</t>
        </is>
      </c>
      <c r="G417" t="inlineStr">
        <is>
          <t>GISLAVED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46257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46257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46257</v>
      </c>
      <c r="F420" t="inlineStr">
        <is>
          <t>JÖNKÖPINGS LÄN</t>
        </is>
      </c>
      <c r="G420" t="inlineStr">
        <is>
          <t>GISLAVED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46257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46257</v>
      </c>
      <c r="F422" t="inlineStr">
        <is>
          <t>JÖNKÖPINGS LÄN</t>
        </is>
      </c>
      <c r="G422" t="inlineStr">
        <is>
          <t>GISLAVED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63045-2025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46257</v>
      </c>
      <c r="F423" t="inlineStr">
        <is>
          <t>JÖNKÖPINGS LÄN</t>
        </is>
      </c>
      <c r="G423" t="inlineStr">
        <is>
          <t>GISLAVED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44721</v>
      </c>
      <c r="E424" s="1" t="n">
        <v>46257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45118</v>
      </c>
      <c r="E425" s="1" t="n">
        <v>46257</v>
      </c>
      <c r="F425" t="inlineStr">
        <is>
          <t>JÖNKÖPINGS LÄN</t>
        </is>
      </c>
      <c r="G425" t="inlineStr">
        <is>
          <t>GISLAVED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46257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39607-2022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44818</v>
      </c>
      <c r="E427" s="1" t="n">
        <v>46257</v>
      </c>
      <c r="F427" t="inlineStr">
        <is>
          <t>JÖNKÖPINGS LÄN</t>
        </is>
      </c>
      <c r="G427" t="inlineStr">
        <is>
          <t>GISLAVED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45135</v>
      </c>
      <c r="E428" s="1" t="n">
        <v>46257</v>
      </c>
      <c r="F428" t="inlineStr">
        <is>
          <t>JÖNKÖPINGS LÄN</t>
        </is>
      </c>
      <c r="G428" t="inlineStr">
        <is>
          <t>GISLAVED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45000</v>
      </c>
      <c r="E429" s="1" t="n">
        <v>46257</v>
      </c>
      <c r="F429" t="inlineStr">
        <is>
          <t>JÖNKÖPINGS LÄN</t>
        </is>
      </c>
      <c r="G429" t="inlineStr">
        <is>
          <t>GISLAVED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45730</v>
      </c>
      <c r="E430" s="1" t="n">
        <v>46257</v>
      </c>
      <c r="F430" t="inlineStr">
        <is>
          <t>JÖNKÖPINGS LÄN</t>
        </is>
      </c>
      <c r="G430" t="inlineStr">
        <is>
          <t>GISLAVED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51835-2024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45607</v>
      </c>
      <c r="E431" s="1" t="n">
        <v>46257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64812-2023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45282</v>
      </c>
      <c r="E432" s="1" t="n">
        <v>46257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45891-2021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44441</v>
      </c>
      <c r="E433" s="1" t="n">
        <v>46257</v>
      </c>
      <c r="F433" t="inlineStr">
        <is>
          <t>JÖNKÖPINGS LÄN</t>
        </is>
      </c>
      <c r="G433" t="inlineStr">
        <is>
          <t>GISLAVED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46257</v>
      </c>
      <c r="F434" t="inlineStr">
        <is>
          <t>JÖNKÖPINGS LÄN</t>
        </is>
      </c>
      <c r="G434" t="inlineStr">
        <is>
          <t>GISLAVED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44712</v>
      </c>
      <c r="E435" s="1" t="n">
        <v>46257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22176-2022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44712</v>
      </c>
      <c r="E436" s="1" t="n">
        <v>46257</v>
      </c>
      <c r="F436" t="inlineStr">
        <is>
          <t>JÖNKÖPINGS LÄN</t>
        </is>
      </c>
      <c r="G436" t="inlineStr">
        <is>
          <t>GISLAVED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46257</v>
      </c>
      <c r="F437" t="inlineStr">
        <is>
          <t>JÖNKÖPINGS LÄN</t>
        </is>
      </c>
      <c r="G437" t="inlineStr">
        <is>
          <t>GISLAVED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46257</v>
      </c>
      <c r="F438" t="inlineStr">
        <is>
          <t>JÖNKÖPINGS LÄN</t>
        </is>
      </c>
      <c r="G438" t="inlineStr">
        <is>
          <t>GISLAVED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45849</v>
      </c>
      <c r="E439" s="1" t="n">
        <v>46257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46257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46257</v>
      </c>
      <c r="F441" t="inlineStr">
        <is>
          <t>JÖNKÖPINGS LÄN</t>
        </is>
      </c>
      <c r="G441" t="inlineStr">
        <is>
          <t>GISLAVED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45666</v>
      </c>
      <c r="E442" s="1" t="n">
        <v>46257</v>
      </c>
      <c r="F442" t="inlineStr">
        <is>
          <t>JÖNKÖPINGS LÄN</t>
        </is>
      </c>
      <c r="G442" t="inlineStr">
        <is>
          <t>GISLAVED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44923</v>
      </c>
      <c r="E443" s="1" t="n">
        <v>46257</v>
      </c>
      <c r="F443" t="inlineStr">
        <is>
          <t>JÖNKÖPINGS LÄN</t>
        </is>
      </c>
      <c r="G443" t="inlineStr">
        <is>
          <t>GISLAVED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59747-2022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44908</v>
      </c>
      <c r="E444" s="1" t="n">
        <v>46257</v>
      </c>
      <c r="F444" t="inlineStr">
        <is>
          <t>JÖNKÖPINGS LÄN</t>
        </is>
      </c>
      <c r="G444" t="inlineStr">
        <is>
          <t>GISLAVED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46257</v>
      </c>
      <c r="F445" t="inlineStr">
        <is>
          <t>JÖNKÖPINGS LÄN</t>
        </is>
      </c>
      <c r="G445" t="inlineStr">
        <is>
          <t>GISLAVED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45395</v>
      </c>
      <c r="E446" s="1" t="n">
        <v>46257</v>
      </c>
      <c r="F446" t="inlineStr">
        <is>
          <t>JÖNKÖPINGS LÄN</t>
        </is>
      </c>
      <c r="G446" t="inlineStr">
        <is>
          <t>GISLAVED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46257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45395</v>
      </c>
      <c r="E448" s="1" t="n">
        <v>46257</v>
      </c>
      <c r="F448" t="inlineStr">
        <is>
          <t>JÖNKÖPINGS LÄN</t>
        </is>
      </c>
      <c r="G448" t="inlineStr">
        <is>
          <t>GISLAVED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46257</v>
      </c>
      <c r="F449" t="inlineStr">
        <is>
          <t>JÖNKÖPINGS LÄN</t>
        </is>
      </c>
      <c r="G449" t="inlineStr">
        <is>
          <t>GISLAVED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46257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43470-2021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44432</v>
      </c>
      <c r="E451" s="1" t="n">
        <v>46257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47243-2021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44447</v>
      </c>
      <c r="E452" s="1" t="n">
        <v>46257</v>
      </c>
      <c r="F452" t="inlineStr">
        <is>
          <t>JÖNKÖPINGS LÄN</t>
        </is>
      </c>
      <c r="G452" t="inlineStr">
        <is>
          <t>GISLAVED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44970</v>
      </c>
      <c r="E453" s="1" t="n">
        <v>46257</v>
      </c>
      <c r="F453" t="inlineStr">
        <is>
          <t>JÖNKÖPINGS LÄN</t>
        </is>
      </c>
      <c r="G453" t="inlineStr">
        <is>
          <t>GISLAVED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44748</v>
      </c>
      <c r="E454" s="1" t="n">
        <v>46257</v>
      </c>
      <c r="F454" t="inlineStr">
        <is>
          <t>JÖNKÖPINGS LÄN</t>
        </is>
      </c>
      <c r="G454" t="inlineStr">
        <is>
          <t>GISLAVED</t>
        </is>
      </c>
      <c r="I454" t="n">
        <v>14.1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46257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46257</v>
      </c>
      <c r="F456" t="inlineStr">
        <is>
          <t>JÖNKÖPINGS LÄN</t>
        </is>
      </c>
      <c r="G456" t="inlineStr">
        <is>
          <t>GISLAVED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46257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45189</v>
      </c>
      <c r="E458" s="1" t="n">
        <v>46257</v>
      </c>
      <c r="F458" t="inlineStr">
        <is>
          <t>JÖNKÖPINGS LÄN</t>
        </is>
      </c>
      <c r="G458" t="inlineStr">
        <is>
          <t>GISLAVED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45498</v>
      </c>
      <c r="E459" s="1" t="n">
        <v>46257</v>
      </c>
      <c r="F459" t="inlineStr">
        <is>
          <t>JÖNKÖPINGS LÄN</t>
        </is>
      </c>
      <c r="G459" t="inlineStr">
        <is>
          <t>GISLAVED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46162-2024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45581</v>
      </c>
      <c r="E460" s="1" t="n">
        <v>46257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66544-2021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44519</v>
      </c>
      <c r="E461" s="1" t="n">
        <v>46257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45702</v>
      </c>
      <c r="E462" s="1" t="n">
        <v>46257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46257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46257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44712</v>
      </c>
      <c r="E465" s="1" t="n">
        <v>46257</v>
      </c>
      <c r="F465" t="inlineStr">
        <is>
          <t>JÖNKÖPINGS LÄN</t>
        </is>
      </c>
      <c r="G465" t="inlineStr">
        <is>
          <t>GISLAVED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45722</v>
      </c>
      <c r="E466" s="1" t="n">
        <v>46257</v>
      </c>
      <c r="F466" t="inlineStr">
        <is>
          <t>JÖNKÖPINGS LÄN</t>
        </is>
      </c>
      <c r="G466" t="inlineStr">
        <is>
          <t>GISLAVED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47248-2021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44447</v>
      </c>
      <c r="E467" s="1" t="n">
        <v>46257</v>
      </c>
      <c r="F467" t="inlineStr">
        <is>
          <t>JÖNKÖPINGS LÄN</t>
        </is>
      </c>
      <c r="G467" t="inlineStr">
        <is>
          <t>GISLAVED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2194-2026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46036</v>
      </c>
      <c r="E468" s="1" t="n">
        <v>46257</v>
      </c>
      <c r="F468" t="inlineStr">
        <is>
          <t>JÖNKÖPINGS LÄN</t>
        </is>
      </c>
      <c r="G468" t="inlineStr">
        <is>
          <t>GISLAVED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46257</v>
      </c>
      <c r="F469" t="inlineStr">
        <is>
          <t>JÖNKÖPINGS LÄN</t>
        </is>
      </c>
      <c r="G469" t="inlineStr">
        <is>
          <t>GISLAVED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46257</v>
      </c>
      <c r="F470" t="inlineStr">
        <is>
          <t>JÖNKÖPINGS LÄN</t>
        </is>
      </c>
      <c r="G470" t="inlineStr">
        <is>
          <t>GISLAVED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45395</v>
      </c>
      <c r="E471" s="1" t="n">
        <v>46257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45348</v>
      </c>
      <c r="E472" s="1" t="n">
        <v>46257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33274-2024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45518</v>
      </c>
      <c r="E473" s="1" t="n">
        <v>46257</v>
      </c>
      <c r="F473" t="inlineStr">
        <is>
          <t>JÖNKÖPINGS LÄN</t>
        </is>
      </c>
      <c r="G473" t="inlineStr">
        <is>
          <t>GISLAVED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46257</v>
      </c>
      <c r="F474" t="inlineStr">
        <is>
          <t>JÖNKÖPINGS LÄN</t>
        </is>
      </c>
      <c r="G474" t="inlineStr">
        <is>
          <t>GISLAVED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46257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46257</v>
      </c>
      <c r="F476" t="inlineStr">
        <is>
          <t>JÖNKÖPINGS LÄN</t>
        </is>
      </c>
      <c r="G476" t="inlineStr">
        <is>
          <t>GISLAVED</t>
        </is>
      </c>
      <c r="I476" t="n">
        <v>8.5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45596</v>
      </c>
      <c r="E477" s="1" t="n">
        <v>46257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46257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46257</v>
      </c>
      <c r="F479" t="inlineStr">
        <is>
          <t>JÖNKÖPINGS LÄN</t>
        </is>
      </c>
      <c r="G479" t="inlineStr">
        <is>
          <t>GISLAVED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60653-2021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44496</v>
      </c>
      <c r="E480" s="1" t="n">
        <v>46257</v>
      </c>
      <c r="F480" t="inlineStr">
        <is>
          <t>JÖNKÖPINGS LÄN</t>
        </is>
      </c>
      <c r="G480" t="inlineStr">
        <is>
          <t>GISLAVED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46257</v>
      </c>
      <c r="F481" t="inlineStr">
        <is>
          <t>JÖNKÖPINGS LÄN</t>
        </is>
      </c>
      <c r="G481" t="inlineStr">
        <is>
          <t>GISLAVED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31690-2022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44776</v>
      </c>
      <c r="E482" s="1" t="n">
        <v>46257</v>
      </c>
      <c r="F482" t="inlineStr">
        <is>
          <t>JÖNKÖPINGS LÄN</t>
        </is>
      </c>
      <c r="G482" t="inlineStr">
        <is>
          <t>GISLAVED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45637</v>
      </c>
      <c r="E483" s="1" t="n">
        <v>46257</v>
      </c>
      <c r="F483" t="inlineStr">
        <is>
          <t>JÖNKÖPINGS LÄN</t>
        </is>
      </c>
      <c r="G483" t="inlineStr">
        <is>
          <t>GISLAVED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46257</v>
      </c>
      <c r="F484" t="inlineStr">
        <is>
          <t>JÖNKÖPINGS LÄN</t>
        </is>
      </c>
      <c r="G484" t="inlineStr">
        <is>
          <t>GISLAVED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46257</v>
      </c>
      <c r="F485" t="inlineStr">
        <is>
          <t>JÖNKÖPINGS LÄN</t>
        </is>
      </c>
      <c r="G485" t="inlineStr">
        <is>
          <t>GISLAVED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45011</v>
      </c>
      <c r="E486" s="1" t="n">
        <v>46257</v>
      </c>
      <c r="F486" t="inlineStr">
        <is>
          <t>JÖNKÖPINGS LÄN</t>
        </is>
      </c>
      <c r="G486" t="inlineStr">
        <is>
          <t>GISLAVED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45096</v>
      </c>
      <c r="E487" s="1" t="n">
        <v>46257</v>
      </c>
      <c r="F487" t="inlineStr">
        <is>
          <t>JÖNKÖPINGS LÄN</t>
        </is>
      </c>
      <c r="G487" t="inlineStr">
        <is>
          <t>GISLAVED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25758-2024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45465</v>
      </c>
      <c r="E488" s="1" t="n">
        <v>46257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45465</v>
      </c>
      <c r="E489" s="1" t="n">
        <v>46257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44469</v>
      </c>
      <c r="E490" s="1" t="n">
        <v>46257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46257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45675</v>
      </c>
      <c r="E492" s="1" t="n">
        <v>46257</v>
      </c>
      <c r="F492" t="inlineStr">
        <is>
          <t>JÖNKÖPINGS LÄN</t>
        </is>
      </c>
      <c r="G492" t="inlineStr">
        <is>
          <t>GISLAVED</t>
        </is>
      </c>
      <c r="H492" t="inlineStr">
        <is>
          <t>Kommuner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45712</v>
      </c>
      <c r="E493" s="1" t="n">
        <v>46257</v>
      </c>
      <c r="F493" t="inlineStr">
        <is>
          <t>JÖNKÖPINGS LÄN</t>
        </is>
      </c>
      <c r="G493" t="inlineStr">
        <is>
          <t>GISLAVED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7509-2023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44971</v>
      </c>
      <c r="E494" s="1" t="n">
        <v>46257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7510-2023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44971</v>
      </c>
      <c r="E495" s="1" t="n">
        <v>46257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45559</v>
      </c>
      <c r="E496" s="1" t="n">
        <v>46257</v>
      </c>
      <c r="F496" t="inlineStr">
        <is>
          <t>JÖNKÖPINGS LÄN</t>
        </is>
      </c>
      <c r="G496" t="inlineStr">
        <is>
          <t>GISLAVED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46257</v>
      </c>
      <c r="F497" t="inlineStr">
        <is>
          <t>JÖNKÖPINGS LÄN</t>
        </is>
      </c>
      <c r="G497" t="inlineStr">
        <is>
          <t>GISLAVED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21312-2023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46257</v>
      </c>
      <c r="F498" t="inlineStr">
        <is>
          <t>JÖNKÖPINGS LÄN</t>
        </is>
      </c>
      <c r="G498" t="inlineStr">
        <is>
          <t>GISLAVED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46257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46257</v>
      </c>
      <c r="F500" t="inlineStr">
        <is>
          <t>JÖNKÖPINGS LÄN</t>
        </is>
      </c>
      <c r="G500" t="inlineStr">
        <is>
          <t>GISLAVED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45465</v>
      </c>
      <c r="E501" s="1" t="n">
        <v>46257</v>
      </c>
      <c r="F501" t="inlineStr">
        <is>
          <t>JÖNKÖPINGS LÄN</t>
        </is>
      </c>
      <c r="G501" t="inlineStr">
        <is>
          <t>GISLAVED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46257</v>
      </c>
      <c r="F502" t="inlineStr">
        <is>
          <t>JÖNKÖPINGS LÄN</t>
        </is>
      </c>
      <c r="G502" t="inlineStr">
        <is>
          <t>GISLAVED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45465</v>
      </c>
      <c r="E503" s="1" t="n">
        <v>46257</v>
      </c>
      <c r="F503" t="inlineStr">
        <is>
          <t>JÖNKÖPINGS LÄN</t>
        </is>
      </c>
      <c r="G503" t="inlineStr">
        <is>
          <t>GISLAVED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45465</v>
      </c>
      <c r="E504" s="1" t="n">
        <v>46257</v>
      </c>
      <c r="F504" t="inlineStr">
        <is>
          <t>JÖNKÖPINGS LÄN</t>
        </is>
      </c>
      <c r="G504" t="inlineStr">
        <is>
          <t>GISLAVED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46257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46257</v>
      </c>
      <c r="F506" t="inlineStr">
        <is>
          <t>JÖNKÖPINGS LÄN</t>
        </is>
      </c>
      <c r="G506" t="inlineStr">
        <is>
          <t>GISLAVED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51099-2024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46257</v>
      </c>
      <c r="F507" t="inlineStr">
        <is>
          <t>JÖNKÖPINGS LÄN</t>
        </is>
      </c>
      <c r="G507" t="inlineStr">
        <is>
          <t>GISLAVED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45395</v>
      </c>
      <c r="E508" s="1" t="n">
        <v>46257</v>
      </c>
      <c r="F508" t="inlineStr">
        <is>
          <t>JÖNKÖPINGS LÄN</t>
        </is>
      </c>
      <c r="G508" t="inlineStr">
        <is>
          <t>GISLAVED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44810</v>
      </c>
      <c r="E509" s="1" t="n">
        <v>46257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46257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46257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46257</v>
      </c>
      <c r="F512" t="inlineStr">
        <is>
          <t>JÖNKÖPINGS LÄN</t>
        </is>
      </c>
      <c r="G512" t="inlineStr">
        <is>
          <t>GISLAVED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61177-2021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44498</v>
      </c>
      <c r="E513" s="1" t="n">
        <v>46257</v>
      </c>
      <c r="F513" t="inlineStr">
        <is>
          <t>JÖNKÖPINGS LÄN</t>
        </is>
      </c>
      <c r="G513" t="inlineStr">
        <is>
          <t>GISLAVED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45509</v>
      </c>
      <c r="E514" s="1" t="n">
        <v>46257</v>
      </c>
      <c r="F514" t="inlineStr">
        <is>
          <t>JÖNKÖPINGS LÄN</t>
        </is>
      </c>
      <c r="G514" t="inlineStr">
        <is>
          <t>GISLAVED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44917</v>
      </c>
      <c r="E515" s="1" t="n">
        <v>46257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61351-2022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44915</v>
      </c>
      <c r="E516" s="1" t="n">
        <v>46257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46257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46257</v>
      </c>
      <c r="F518" t="inlineStr">
        <is>
          <t>JÖNKÖPINGS LÄN</t>
        </is>
      </c>
      <c r="G518" t="inlineStr">
        <is>
          <t>GISLAVED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46257</v>
      </c>
      <c r="F519" t="inlineStr">
        <is>
          <t>JÖNKÖPINGS LÄN</t>
        </is>
      </c>
      <c r="G519" t="inlineStr">
        <is>
          <t>GISLAVED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46257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46257</v>
      </c>
      <c r="F521" t="inlineStr">
        <is>
          <t>JÖNKÖPINGS LÄN</t>
        </is>
      </c>
      <c r="G521" t="inlineStr">
        <is>
          <t>GISLAVED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46257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37231-2025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45876</v>
      </c>
      <c r="E523" s="1" t="n">
        <v>46257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22487-2024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45447</v>
      </c>
      <c r="E524" s="1" t="n">
        <v>46257</v>
      </c>
      <c r="F524" t="inlineStr">
        <is>
          <t>JÖNKÖPINGS LÄN</t>
        </is>
      </c>
      <c r="G524" t="inlineStr">
        <is>
          <t>GISLAVED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46257</v>
      </c>
      <c r="F525" t="inlineStr">
        <is>
          <t>JÖNKÖPINGS LÄN</t>
        </is>
      </c>
      <c r="G525" t="inlineStr">
        <is>
          <t>GISLAVED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46257</v>
      </c>
      <c r="F526" t="inlineStr">
        <is>
          <t>JÖNKÖPINGS LÄN</t>
        </is>
      </c>
      <c r="G526" t="inlineStr">
        <is>
          <t>GISLAVED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46257</v>
      </c>
      <c r="F527" t="inlineStr">
        <is>
          <t>JÖNKÖPINGS LÄN</t>
        </is>
      </c>
      <c r="G527" t="inlineStr">
        <is>
          <t>GISLAVED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45876</v>
      </c>
      <c r="E528" s="1" t="n">
        <v>46257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73545-2021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44551</v>
      </c>
      <c r="E529" s="1" t="n">
        <v>46257</v>
      </c>
      <c r="F529" t="inlineStr">
        <is>
          <t>JÖNKÖPINGS LÄN</t>
        </is>
      </c>
      <c r="G529" t="inlineStr">
        <is>
          <t>GISLAVED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46257</v>
      </c>
      <c r="F530" t="inlineStr">
        <is>
          <t>JÖNKÖPINGS LÄN</t>
        </is>
      </c>
      <c r="G530" t="inlineStr">
        <is>
          <t>GISLAVED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37732-2025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45880</v>
      </c>
      <c r="E531" s="1" t="n">
        <v>46257</v>
      </c>
      <c r="F531" t="inlineStr">
        <is>
          <t>JÖNKÖPINGS LÄN</t>
        </is>
      </c>
      <c r="G531" t="inlineStr">
        <is>
          <t>GISLAVED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44739</v>
      </c>
      <c r="E532" s="1" t="n">
        <v>46257</v>
      </c>
      <c r="F532" t="inlineStr">
        <is>
          <t>JÖNKÖPINGS LÄN</t>
        </is>
      </c>
      <c r="G532" t="inlineStr">
        <is>
          <t>GISLAVED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45564-2025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46257</v>
      </c>
      <c r="F533" t="inlineStr">
        <is>
          <t>JÖNKÖPINGS LÄN</t>
        </is>
      </c>
      <c r="G533" t="inlineStr">
        <is>
          <t>GISLAVED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46257</v>
      </c>
      <c r="F534" t="inlineStr">
        <is>
          <t>JÖNKÖPINGS LÄN</t>
        </is>
      </c>
      <c r="G534" t="inlineStr">
        <is>
          <t>GISLAVED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46257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56471-2022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44893</v>
      </c>
      <c r="E536" s="1" t="n">
        <v>46257</v>
      </c>
      <c r="F536" t="inlineStr">
        <is>
          <t>JÖNKÖPINGS LÄN</t>
        </is>
      </c>
      <c r="G536" t="inlineStr">
        <is>
          <t>GISLAVED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44938</v>
      </c>
      <c r="E537" s="1" t="n">
        <v>46257</v>
      </c>
      <c r="F537" t="inlineStr">
        <is>
          <t>JÖNKÖPINGS LÄN</t>
        </is>
      </c>
      <c r="G537" t="inlineStr">
        <is>
          <t>GISLAVED</t>
        </is>
      </c>
      <c r="H537" t="inlineStr">
        <is>
          <t>Kyrkan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38170-2025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45882</v>
      </c>
      <c r="E538" s="1" t="n">
        <v>46257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46257</v>
      </c>
      <c r="F539" t="inlineStr">
        <is>
          <t>JÖNKÖPINGS LÄN</t>
        </is>
      </c>
      <c r="G539" t="inlineStr">
        <is>
          <t>GISLAVED</t>
        </is>
      </c>
      <c r="H539" t="inlineStr">
        <is>
          <t>Kommuner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46257</v>
      </c>
      <c r="F540" t="inlineStr">
        <is>
          <t>JÖNKÖPINGS LÄN</t>
        </is>
      </c>
      <c r="G540" t="inlineStr">
        <is>
          <t>GISLAVED</t>
        </is>
      </c>
      <c r="H540" t="inlineStr">
        <is>
          <t>Kommuner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46257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46257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44615</v>
      </c>
      <c r="E543" s="1" t="n">
        <v>46257</v>
      </c>
      <c r="F543" t="inlineStr">
        <is>
          <t>JÖNKÖPINGS LÄN</t>
        </is>
      </c>
      <c r="G543" t="inlineStr">
        <is>
          <t>GISLAVED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45427</v>
      </c>
      <c r="E544" s="1" t="n">
        <v>46257</v>
      </c>
      <c r="F544" t="inlineStr">
        <is>
          <t>JÖNKÖPINGS LÄN</t>
        </is>
      </c>
      <c r="G544" t="inlineStr">
        <is>
          <t>GISLAVED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45882</v>
      </c>
      <c r="E545" s="1" t="n">
        <v>46257</v>
      </c>
      <c r="F545" t="inlineStr">
        <is>
          <t>JÖNKÖPINGS LÄN</t>
        </is>
      </c>
      <c r="G545" t="inlineStr">
        <is>
          <t>GISLAVED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46257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60261-2022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44910</v>
      </c>
      <c r="E547" s="1" t="n">
        <v>46257</v>
      </c>
      <c r="F547" t="inlineStr">
        <is>
          <t>JÖNKÖPINGS LÄN</t>
        </is>
      </c>
      <c r="G547" t="inlineStr">
        <is>
          <t>GISLAVED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38111-2025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46257</v>
      </c>
      <c r="F548" t="inlineStr">
        <is>
          <t>JÖNKÖPINGS LÄN</t>
        </is>
      </c>
      <c r="G548" t="inlineStr">
        <is>
          <t>GISLAVED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46257</v>
      </c>
      <c r="F549" t="inlineStr">
        <is>
          <t>JÖNKÖPINGS LÄN</t>
        </is>
      </c>
      <c r="G549" t="inlineStr">
        <is>
          <t>GISLAVED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46257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46257</v>
      </c>
      <c r="F551" t="inlineStr">
        <is>
          <t>JÖNKÖPINGS LÄN</t>
        </is>
      </c>
      <c r="G551" t="inlineStr">
        <is>
          <t>GISLAVED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46257</v>
      </c>
      <c r="F552" t="inlineStr">
        <is>
          <t>JÖNKÖPINGS LÄN</t>
        </is>
      </c>
      <c r="G552" t="inlineStr">
        <is>
          <t>GISLAVED</t>
        </is>
      </c>
      <c r="H552" t="inlineStr">
        <is>
          <t>Sveaskog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46257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7328-2022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44606</v>
      </c>
      <c r="E554" s="1" t="n">
        <v>46257</v>
      </c>
      <c r="F554" t="inlineStr">
        <is>
          <t>JÖNKÖPINGS LÄN</t>
        </is>
      </c>
      <c r="G554" t="inlineStr">
        <is>
          <t>GISLAVED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46257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46257</v>
      </c>
      <c r="F556" t="inlineStr">
        <is>
          <t>JÖNKÖPINGS LÄN</t>
        </is>
      </c>
      <c r="G556" t="inlineStr">
        <is>
          <t>GISLAVED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46257</v>
      </c>
      <c r="F557" t="inlineStr">
        <is>
          <t>JÖNKÖPINGS LÄN</t>
        </is>
      </c>
      <c r="G557" t="inlineStr">
        <is>
          <t>GISLAVED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46257</v>
      </c>
      <c r="F558" t="inlineStr">
        <is>
          <t>JÖNKÖPINGS LÄN</t>
        </is>
      </c>
      <c r="G558" t="inlineStr">
        <is>
          <t>GISLAVED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46257</v>
      </c>
      <c r="F559" t="inlineStr">
        <is>
          <t>JÖNKÖPINGS LÄN</t>
        </is>
      </c>
      <c r="G559" t="inlineStr">
        <is>
          <t>GISLAVED</t>
        </is>
      </c>
      <c r="H559" t="inlineStr">
        <is>
          <t>Kyrkan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46257</v>
      </c>
      <c r="F560" t="inlineStr">
        <is>
          <t>JÖNKÖPINGS LÄN</t>
        </is>
      </c>
      <c r="G560" t="inlineStr">
        <is>
          <t>GISLAVED</t>
        </is>
      </c>
      <c r="H560" t="inlineStr">
        <is>
          <t>Kyrkan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58389-2023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46257</v>
      </c>
      <c r="F561" t="inlineStr">
        <is>
          <t>JÖNKÖPINGS LÄN</t>
        </is>
      </c>
      <c r="G561" t="inlineStr">
        <is>
          <t>GISLAVED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45515</v>
      </c>
      <c r="E562" s="1" t="n">
        <v>46257</v>
      </c>
      <c r="F562" t="inlineStr">
        <is>
          <t>JÖNKÖPINGS LÄN</t>
        </is>
      </c>
      <c r="G562" t="inlineStr">
        <is>
          <t>GISLAVED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31615-2026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46224</v>
      </c>
      <c r="E563" s="1" t="n">
        <v>46257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46257</v>
      </c>
      <c r="F564" t="inlineStr">
        <is>
          <t>JÖNKÖPINGS LÄN</t>
        </is>
      </c>
      <c r="G564" t="inlineStr">
        <is>
          <t>GISLAVED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46257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46079</v>
      </c>
      <c r="E566" s="1" t="n">
        <v>46257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46257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45190</v>
      </c>
      <c r="E568" s="1" t="n">
        <v>46257</v>
      </c>
      <c r="F568" t="inlineStr">
        <is>
          <t>JÖNKÖPINGS LÄN</t>
        </is>
      </c>
      <c r="G568" t="inlineStr">
        <is>
          <t>GISLAVED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46257</v>
      </c>
      <c r="F569" t="inlineStr">
        <is>
          <t>JÖNKÖPINGS LÄN</t>
        </is>
      </c>
      <c r="G569" t="inlineStr">
        <is>
          <t>GISLAVED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46257</v>
      </c>
      <c r="F570" t="inlineStr">
        <is>
          <t>JÖNKÖPINGS LÄN</t>
        </is>
      </c>
      <c r="G570" t="inlineStr">
        <is>
          <t>GISLAVED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61914-2021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44501</v>
      </c>
      <c r="E571" s="1" t="n">
        <v>46257</v>
      </c>
      <c r="F571" t="inlineStr">
        <is>
          <t>JÖNKÖPINGS LÄN</t>
        </is>
      </c>
      <c r="G571" t="inlineStr">
        <is>
          <t>GISLAVED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46257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46257</v>
      </c>
      <c r="F573" t="inlineStr">
        <is>
          <t>JÖNKÖPINGS LÄN</t>
        </is>
      </c>
      <c r="G573" t="inlineStr">
        <is>
          <t>GISLAVED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11484-2026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46257</v>
      </c>
      <c r="F574" t="inlineStr">
        <is>
          <t>JÖNKÖPINGS LÄN</t>
        </is>
      </c>
      <c r="G574" t="inlineStr">
        <is>
          <t>GISLAVED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46257</v>
      </c>
      <c r="F575" t="inlineStr">
        <is>
          <t>JÖNKÖPINGS LÄN</t>
        </is>
      </c>
      <c r="G575" t="inlineStr">
        <is>
          <t>GISLAVED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45574-2024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46257</v>
      </c>
      <c r="F576" t="inlineStr">
        <is>
          <t>JÖNKÖPINGS LÄN</t>
        </is>
      </c>
      <c r="G576" t="inlineStr">
        <is>
          <t>GISLAVED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11833-2026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46085</v>
      </c>
      <c r="E577" s="1" t="n">
        <v>46257</v>
      </c>
      <c r="F577" t="inlineStr">
        <is>
          <t>JÖNKÖPINGS LÄN</t>
        </is>
      </c>
      <c r="G577" t="inlineStr">
        <is>
          <t>GISLAVED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46086</v>
      </c>
      <c r="E578" s="1" t="n">
        <v>46257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46257</v>
      </c>
      <c r="F579" t="inlineStr">
        <is>
          <t>JÖNKÖPINGS LÄN</t>
        </is>
      </c>
      <c r="G579" t="inlineStr">
        <is>
          <t>GISLAVED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49490-2023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46257</v>
      </c>
      <c r="F580" t="inlineStr">
        <is>
          <t>JÖNKÖPINGS LÄN</t>
        </is>
      </c>
      <c r="G580" t="inlineStr">
        <is>
          <t>GISLAVED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46257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46257</v>
      </c>
      <c r="F582" t="inlineStr">
        <is>
          <t>JÖNKÖPINGS LÄN</t>
        </is>
      </c>
      <c r="G582" t="inlineStr">
        <is>
          <t>GISLAVED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31817-2026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46257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45259</v>
      </c>
      <c r="E584" s="1" t="n">
        <v>46257</v>
      </c>
      <c r="F584" t="inlineStr">
        <is>
          <t>JÖNKÖPINGS LÄN</t>
        </is>
      </c>
      <c r="G584" t="inlineStr">
        <is>
          <t>GISLAVED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60966-2021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44496</v>
      </c>
      <c r="E585" s="1" t="n">
        <v>46257</v>
      </c>
      <c r="F585" t="inlineStr">
        <is>
          <t>JÖNKÖPINGS LÄN</t>
        </is>
      </c>
      <c r="G585" t="inlineStr">
        <is>
          <t>GISLAVED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31933-2026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46232</v>
      </c>
      <c r="E586" s="1" t="n">
        <v>46257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45315</v>
      </c>
      <c r="E587" s="1" t="n">
        <v>46257</v>
      </c>
      <c r="F587" t="inlineStr">
        <is>
          <t>JÖNKÖPINGS LÄN</t>
        </is>
      </c>
      <c r="G587" t="inlineStr">
        <is>
          <t>GISLAVED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36350-2024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45534</v>
      </c>
      <c r="E588" s="1" t="n">
        <v>46257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46232</v>
      </c>
      <c r="E589" s="1" t="n">
        <v>46257</v>
      </c>
      <c r="F589" t="inlineStr">
        <is>
          <t>JÖNKÖPINGS LÄN</t>
        </is>
      </c>
      <c r="G589" t="inlineStr">
        <is>
          <t>GISLAVED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46257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46257</v>
      </c>
      <c r="F591" t="inlineStr">
        <is>
          <t>JÖNKÖPINGS LÄN</t>
        </is>
      </c>
      <c r="G591" t="inlineStr">
        <is>
          <t>GISLAVED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46257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46257</v>
      </c>
      <c r="F593" t="inlineStr">
        <is>
          <t>JÖNKÖPINGS LÄN</t>
        </is>
      </c>
      <c r="G593" t="inlineStr">
        <is>
          <t>GISLAVED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46257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45726</v>
      </c>
      <c r="E595" s="1" t="n">
        <v>46257</v>
      </c>
      <c r="F595" t="inlineStr">
        <is>
          <t>JÖNKÖPINGS LÄN</t>
        </is>
      </c>
      <c r="G595" t="inlineStr">
        <is>
          <t>GISLAVED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45726</v>
      </c>
      <c r="E596" s="1" t="n">
        <v>46257</v>
      </c>
      <c r="F596" t="inlineStr">
        <is>
          <t>JÖNKÖPINGS LÄN</t>
        </is>
      </c>
      <c r="G596" t="inlineStr">
        <is>
          <t>GISLAVED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14047-2026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46257</v>
      </c>
      <c r="F597" t="inlineStr">
        <is>
          <t>JÖNKÖPINGS LÄN</t>
        </is>
      </c>
      <c r="G597" t="inlineStr">
        <is>
          <t>GISLAVED</t>
        </is>
      </c>
      <c r="H597" t="inlineStr">
        <is>
          <t>Kyrkan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46257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24188-2026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46257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46257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46257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32054-2026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46233</v>
      </c>
      <c r="E602" s="1" t="n">
        <v>46257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46257</v>
      </c>
      <c r="F603" t="inlineStr">
        <is>
          <t>JÖNKÖPINGS LÄN</t>
        </is>
      </c>
      <c r="G603" t="inlineStr">
        <is>
          <t>GISLAVED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46257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46257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46193</v>
      </c>
      <c r="E606" s="1" t="n">
        <v>46257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46257</v>
      </c>
      <c r="F607" t="inlineStr">
        <is>
          <t>JÖNKÖPINGS LÄN</t>
        </is>
      </c>
      <c r="G607" t="inlineStr">
        <is>
          <t>GISLAVED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46257</v>
      </c>
      <c r="F608" t="inlineStr">
        <is>
          <t>JÖNKÖPINGS LÄN</t>
        </is>
      </c>
      <c r="G608" t="inlineStr">
        <is>
          <t>GISLAVED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45317</v>
      </c>
      <c r="E609" s="1" t="n">
        <v>46257</v>
      </c>
      <c r="F609" t="inlineStr">
        <is>
          <t>JÖNKÖPINGS LÄN</t>
        </is>
      </c>
      <c r="G609" t="inlineStr">
        <is>
          <t>GISLAVED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46257</v>
      </c>
      <c r="F610" t="inlineStr">
        <is>
          <t>JÖNKÖPINGS LÄN</t>
        </is>
      </c>
      <c r="G610" t="inlineStr">
        <is>
          <t>GISLAVED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30032-2023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46257</v>
      </c>
      <c r="F611" t="inlineStr">
        <is>
          <t>JÖNKÖPINGS LÄN</t>
        </is>
      </c>
      <c r="G611" t="inlineStr">
        <is>
          <t>GISLAVED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46257</v>
      </c>
      <c r="F612" t="inlineStr">
        <is>
          <t>JÖNKÖPINGS LÄN</t>
        </is>
      </c>
      <c r="G612" t="inlineStr">
        <is>
          <t>GISLAVED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45611</v>
      </c>
      <c r="E613" s="1" t="n">
        <v>46257</v>
      </c>
      <c r="F613" t="inlineStr">
        <is>
          <t>JÖNKÖPINGS LÄN</t>
        </is>
      </c>
      <c r="G613" t="inlineStr">
        <is>
          <t>GISLAVED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46257</v>
      </c>
      <c r="F614" t="inlineStr">
        <is>
          <t>JÖNKÖPINGS LÄN</t>
        </is>
      </c>
      <c r="G614" t="inlineStr">
        <is>
          <t>GISLAVED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53801-2023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45231</v>
      </c>
      <c r="E615" s="1" t="n">
        <v>46257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46257</v>
      </c>
      <c r="F616" t="inlineStr">
        <is>
          <t>JÖNKÖPINGS LÄN</t>
        </is>
      </c>
      <c r="G616" t="inlineStr">
        <is>
          <t>GISLAVED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46237</v>
      </c>
      <c r="E617" s="1" t="n">
        <v>46257</v>
      </c>
      <c r="F617" t="inlineStr">
        <is>
          <t>JÖNKÖPINGS LÄN</t>
        </is>
      </c>
      <c r="G617" t="inlineStr">
        <is>
          <t>GISLAVED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46237</v>
      </c>
      <c r="E618" s="1" t="n">
        <v>46257</v>
      </c>
      <c r="F618" t="inlineStr">
        <is>
          <t>JÖNKÖPINGS LÄN</t>
        </is>
      </c>
      <c r="G618" t="inlineStr">
        <is>
          <t>GISLAVED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25649-2023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45089</v>
      </c>
      <c r="E619" s="1" t="n">
        <v>46257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45709</v>
      </c>
      <c r="E620" s="1" t="n">
        <v>46257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46257</v>
      </c>
      <c r="F621" t="inlineStr">
        <is>
          <t>JÖNKÖPINGS LÄN</t>
        </is>
      </c>
      <c r="G621" t="inlineStr">
        <is>
          <t>GISLAVED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46257</v>
      </c>
      <c r="F622" t="inlineStr">
        <is>
          <t>JÖNKÖPINGS LÄN</t>
        </is>
      </c>
      <c r="G622" t="inlineStr">
        <is>
          <t>GISLAVED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46257</v>
      </c>
      <c r="F623" t="inlineStr">
        <is>
          <t>JÖNKÖPINGS LÄN</t>
        </is>
      </c>
      <c r="G623" t="inlineStr">
        <is>
          <t>GISLAVED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7930-2024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45350</v>
      </c>
      <c r="E624" s="1" t="n">
        <v>46257</v>
      </c>
      <c r="F624" t="inlineStr">
        <is>
          <t>JÖNKÖPINGS LÄN</t>
        </is>
      </c>
      <c r="G624" t="inlineStr">
        <is>
          <t>GISLAVED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46257</v>
      </c>
      <c r="F625" t="inlineStr">
        <is>
          <t>JÖNKÖPINGS LÄN</t>
        </is>
      </c>
      <c r="G625" t="inlineStr">
        <is>
          <t>GISLAVED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46257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45488</v>
      </c>
      <c r="E627" s="1" t="n">
        <v>46257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46257</v>
      </c>
      <c r="F628" t="inlineStr">
        <is>
          <t>JÖNKÖPINGS LÄN</t>
        </is>
      </c>
      <c r="G628" t="inlineStr">
        <is>
          <t>GISLAVED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46257</v>
      </c>
      <c r="F629" t="inlineStr">
        <is>
          <t>JÖNKÖPINGS LÄN</t>
        </is>
      </c>
      <c r="G629" t="inlineStr">
        <is>
          <t>GISLAVED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46257</v>
      </c>
      <c r="F630" t="inlineStr">
        <is>
          <t>JÖNKÖPINGS LÄN</t>
        </is>
      </c>
      <c r="G630" t="inlineStr">
        <is>
          <t>GISLAVED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15973-2026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46257</v>
      </c>
      <c r="F631" t="inlineStr">
        <is>
          <t>JÖNKÖPINGS LÄN</t>
        </is>
      </c>
      <c r="G631" t="inlineStr">
        <is>
          <t>GISLAVED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46257</v>
      </c>
      <c r="F632" t="inlineStr">
        <is>
          <t>JÖNKÖPINGS LÄN</t>
        </is>
      </c>
      <c r="G632" t="inlineStr">
        <is>
          <t>GISLAVED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27993-2026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46257</v>
      </c>
      <c r="F633" t="inlineStr">
        <is>
          <t>JÖNKÖPINGS LÄN</t>
        </is>
      </c>
      <c r="G633" t="inlineStr">
        <is>
          <t>GISLAVED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46257</v>
      </c>
      <c r="F634" t="inlineStr">
        <is>
          <t>JÖNKÖPINGS LÄN</t>
        </is>
      </c>
      <c r="G634" t="inlineStr">
        <is>
          <t>GISLAVED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46257</v>
      </c>
      <c r="F635" t="inlineStr">
        <is>
          <t>JÖNKÖPINGS LÄN</t>
        </is>
      </c>
      <c r="G635" t="inlineStr">
        <is>
          <t>GISLAVED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45573</v>
      </c>
      <c r="E636" s="1" t="n">
        <v>46257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8182-2025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45708</v>
      </c>
      <c r="E637" s="1" t="n">
        <v>46257</v>
      </c>
      <c r="F637" t="inlineStr">
        <is>
          <t>JÖNKÖPINGS LÄN</t>
        </is>
      </c>
      <c r="G637" t="inlineStr">
        <is>
          <t>GISLAVED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50324-2021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44456</v>
      </c>
      <c r="E638" s="1" t="n">
        <v>46257</v>
      </c>
      <c r="F638" t="inlineStr">
        <is>
          <t>JÖNKÖPINGS LÄN</t>
        </is>
      </c>
      <c r="G638" t="inlineStr">
        <is>
          <t>GISLAVED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45635</v>
      </c>
      <c r="E639" s="1" t="n">
        <v>46257</v>
      </c>
      <c r="F639" t="inlineStr">
        <is>
          <t>JÖNKÖPINGS LÄN</t>
        </is>
      </c>
      <c r="G639" t="inlineStr">
        <is>
          <t>GISLAVED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32684-2026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46240</v>
      </c>
      <c r="E640" s="1" t="n">
        <v>46257</v>
      </c>
      <c r="F640" t="inlineStr">
        <is>
          <t>JÖNKÖPINGS LÄN</t>
        </is>
      </c>
      <c r="G640" t="inlineStr">
        <is>
          <t>GISLAVED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30193-2022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44757</v>
      </c>
      <c r="E641" s="1" t="n">
        <v>46257</v>
      </c>
      <c r="F641" t="inlineStr">
        <is>
          <t>JÖNKÖPINGS LÄN</t>
        </is>
      </c>
      <c r="G641" t="inlineStr">
        <is>
          <t>GISLAVED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26286-2024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45468</v>
      </c>
      <c r="E642" s="1" t="n">
        <v>46257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9911-2025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45717</v>
      </c>
      <c r="E643" s="1" t="n">
        <v>46257</v>
      </c>
      <c r="F643" t="inlineStr">
        <is>
          <t>JÖNKÖPINGS LÄN</t>
        </is>
      </c>
      <c r="G643" t="inlineStr">
        <is>
          <t>GISLAVED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48976-2024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46257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32931-2023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45125</v>
      </c>
      <c r="E645" s="1" t="n">
        <v>46257</v>
      </c>
      <c r="F645" t="inlineStr">
        <is>
          <t>JÖNKÖPINGS LÄN</t>
        </is>
      </c>
      <c r="G645" t="inlineStr">
        <is>
          <t>GISLAVED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45804</v>
      </c>
      <c r="E646" s="1" t="n">
        <v>46257</v>
      </c>
      <c r="F646" t="inlineStr">
        <is>
          <t>JÖNKÖPINGS LÄN</t>
        </is>
      </c>
      <c r="G646" t="inlineStr">
        <is>
          <t>GISLAVED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57426-2022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44896</v>
      </c>
      <c r="E647" s="1" t="n">
        <v>46257</v>
      </c>
      <c r="F647" t="inlineStr">
        <is>
          <t>JÖNKÖPINGS LÄN</t>
        </is>
      </c>
      <c r="G647" t="inlineStr">
        <is>
          <t>GISLAVED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42983-2023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45177</v>
      </c>
      <c r="E648" s="1" t="n">
        <v>46257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47215-2025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45930</v>
      </c>
      <c r="E649" s="1" t="n">
        <v>46257</v>
      </c>
      <c r="F649" t="inlineStr">
        <is>
          <t>JÖNKÖPINGS LÄN</t>
        </is>
      </c>
      <c r="G649" t="inlineStr">
        <is>
          <t>GISLAVED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45364</v>
      </c>
      <c r="E650" s="1" t="n">
        <v>46257</v>
      </c>
      <c r="F650" t="inlineStr">
        <is>
          <t>JÖNKÖPINGS LÄN</t>
        </is>
      </c>
      <c r="G650" t="inlineStr">
        <is>
          <t>GISLAVED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46257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28179-2025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45818</v>
      </c>
      <c r="E652" s="1" t="n">
        <v>46257</v>
      </c>
      <c r="F652" t="inlineStr">
        <is>
          <t>JÖNKÖPINGS LÄN</t>
        </is>
      </c>
      <c r="G652" t="inlineStr">
        <is>
          <t>GISLAVED</t>
        </is>
      </c>
      <c r="H652" t="inlineStr">
        <is>
          <t>Kommuner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45425</v>
      </c>
      <c r="E653" s="1" t="n">
        <v>46257</v>
      </c>
      <c r="F653" t="inlineStr">
        <is>
          <t>JÖNKÖPINGS LÄN</t>
        </is>
      </c>
      <c r="G653" t="inlineStr">
        <is>
          <t>GISLAVED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58648-2023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46257</v>
      </c>
      <c r="F654" t="inlineStr">
        <is>
          <t>JÖNKÖPINGS LÄN</t>
        </is>
      </c>
      <c r="G654" t="inlineStr">
        <is>
          <t>GISLAVED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45097</v>
      </c>
      <c r="E655" s="1" t="n">
        <v>46257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39335-2022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44817</v>
      </c>
      <c r="E656" s="1" t="n">
        <v>46257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46257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45100</v>
      </c>
      <c r="E658" s="1" t="n">
        <v>46257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7369-2024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45345</v>
      </c>
      <c r="E659" s="1" t="n">
        <v>46257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40783-2024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45558</v>
      </c>
      <c r="E660" s="1" t="n">
        <v>46257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45706</v>
      </c>
      <c r="E661" s="1" t="n">
        <v>46257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45706</v>
      </c>
      <c r="E662" s="1" t="n">
        <v>46257</v>
      </c>
      <c r="F662" t="inlineStr">
        <is>
          <t>JÖNKÖPINGS LÄN</t>
        </is>
      </c>
      <c r="G662" t="inlineStr">
        <is>
          <t>GISLAVED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19579-2025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45770</v>
      </c>
      <c r="E663" s="1" t="n">
        <v>46257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45544</v>
      </c>
      <c r="E664" s="1" t="n">
        <v>46257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33699-2026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46250</v>
      </c>
      <c r="E665" s="1" t="n">
        <v>46257</v>
      </c>
      <c r="F665" t="inlineStr">
        <is>
          <t>JÖNKÖPINGS LÄN</t>
        </is>
      </c>
      <c r="G665" t="inlineStr">
        <is>
          <t>GISLAVED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73547-2021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44551</v>
      </c>
      <c r="E666" s="1" t="n">
        <v>46257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46257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46257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29810-2026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46257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46257</v>
      </c>
      <c r="F670" t="inlineStr">
        <is>
          <t>JÖNKÖPINGS LÄN</t>
        </is>
      </c>
      <c r="G670" t="inlineStr">
        <is>
          <t>GISLAVED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46257</v>
      </c>
      <c r="F671" t="inlineStr">
        <is>
          <t>JÖNKÖPINGS LÄN</t>
        </is>
      </c>
      <c r="G671" t="inlineStr">
        <is>
          <t>GISLAVED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48931-2025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45937</v>
      </c>
      <c r="E672" s="1" t="n">
        <v>46257</v>
      </c>
      <c r="F672" t="inlineStr">
        <is>
          <t>JÖNKÖPINGS LÄN</t>
        </is>
      </c>
      <c r="G672" t="inlineStr">
        <is>
          <t>GISLAVED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38214-2024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45545</v>
      </c>
      <c r="E673" s="1" t="n">
        <v>46257</v>
      </c>
      <c r="F673" t="inlineStr">
        <is>
          <t>JÖNKÖPINGS LÄN</t>
        </is>
      </c>
      <c r="G673" t="inlineStr">
        <is>
          <t>GISLAVED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29954-2026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46205</v>
      </c>
      <c r="E674" s="1" t="n">
        <v>46257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15462-2022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44662</v>
      </c>
      <c r="E675" s="1" t="n">
        <v>46257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21756-2025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45783</v>
      </c>
      <c r="E676" s="1" t="n">
        <v>46257</v>
      </c>
      <c r="F676" t="inlineStr">
        <is>
          <t>JÖNKÖPINGS LÄN</t>
        </is>
      </c>
      <c r="G676" t="inlineStr">
        <is>
          <t>GISLAVED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41757-2023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45176</v>
      </c>
      <c r="E677" s="1" t="n">
        <v>46257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31795-2024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45509</v>
      </c>
      <c r="E678" s="1" t="n">
        <v>46257</v>
      </c>
      <c r="F678" t="inlineStr">
        <is>
          <t>JÖNKÖPINGS LÄN</t>
        </is>
      </c>
      <c r="G678" t="inlineStr">
        <is>
          <t>GISLAVED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28318-2025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45818</v>
      </c>
      <c r="E679" s="1" t="n">
        <v>46257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37592-2025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45880</v>
      </c>
      <c r="E680" s="1" t="n">
        <v>46257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60077-2023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45258</v>
      </c>
      <c r="E681" s="1" t="n">
        <v>46257</v>
      </c>
      <c r="F681" t="inlineStr">
        <is>
          <t>JÖNKÖPINGS LÄN</t>
        </is>
      </c>
      <c r="G681" t="inlineStr">
        <is>
          <t>GISLAVED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46257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7185-2025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45702</v>
      </c>
      <c r="E683" s="1" t="n">
        <v>46257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45328</v>
      </c>
      <c r="E684" s="1" t="n">
        <v>46257</v>
      </c>
      <c r="F684" t="inlineStr">
        <is>
          <t>JÖNKÖPINGS LÄN</t>
        </is>
      </c>
      <c r="G684" t="inlineStr">
        <is>
          <t>GISLAVED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35948-2022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44802</v>
      </c>
      <c r="E685" s="1" t="n">
        <v>46257</v>
      </c>
      <c r="F685" t="inlineStr">
        <is>
          <t>JÖNKÖPINGS LÄN</t>
        </is>
      </c>
      <c r="G685" t="inlineStr">
        <is>
          <t>GISLAVED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30030-2023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45110</v>
      </c>
      <c r="E686" s="1" t="n">
        <v>46257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58531-2021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44488</v>
      </c>
      <c r="E687" s="1" t="n">
        <v>46257</v>
      </c>
      <c r="F687" t="inlineStr">
        <is>
          <t>JÖNKÖPINGS LÄN</t>
        </is>
      </c>
      <c r="G687" t="inlineStr">
        <is>
          <t>GISLAVED</t>
        </is>
      </c>
      <c r="H687" t="inlineStr">
        <is>
          <t>Kyrkan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16016-2023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45026</v>
      </c>
      <c r="E688" s="1" t="n">
        <v>46257</v>
      </c>
      <c r="F688" t="inlineStr">
        <is>
          <t>JÖNKÖPINGS LÄN</t>
        </is>
      </c>
      <c r="G688" t="inlineStr">
        <is>
          <t>GISLAVED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45852</v>
      </c>
      <c r="E689" s="1" t="n">
        <v>46257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46257</v>
      </c>
      <c r="F690" t="inlineStr">
        <is>
          <t>JÖNKÖPINGS LÄN</t>
        </is>
      </c>
      <c r="G690" t="inlineStr">
        <is>
          <t>GISLAVED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45163</v>
      </c>
      <c r="E691" s="1" t="n">
        <v>46257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46257</v>
      </c>
      <c r="F692" t="inlineStr">
        <is>
          <t>JÖNKÖPINGS LÄN</t>
        </is>
      </c>
      <c r="G692" t="inlineStr">
        <is>
          <t>GISLAVED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44711</v>
      </c>
      <c r="E693" s="1" t="n">
        <v>46257</v>
      </c>
      <c r="F693" t="inlineStr">
        <is>
          <t>JÖNKÖPINGS LÄN</t>
        </is>
      </c>
      <c r="G693" t="inlineStr">
        <is>
          <t>GISLAVED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7838-2024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45349</v>
      </c>
      <c r="E694" s="1" t="n">
        <v>46257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63269-2023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45273</v>
      </c>
      <c r="E695" s="1" t="n">
        <v>46257</v>
      </c>
      <c r="F695" t="inlineStr">
        <is>
          <t>JÖNKÖPINGS LÄN</t>
        </is>
      </c>
      <c r="G695" t="inlineStr">
        <is>
          <t>GISLAVED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38201-2025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45882</v>
      </c>
      <c r="E696" s="1" t="n">
        <v>46257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45112</v>
      </c>
      <c r="E697" s="1" t="n">
        <v>46257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45213-2023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45191</v>
      </c>
      <c r="E698" s="1" t="n">
        <v>46257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60287-2024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45642</v>
      </c>
      <c r="E699" s="1" t="n">
        <v>46257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46257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46257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46257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52025-2023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46257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45167</v>
      </c>
      <c r="E704" s="1" t="n">
        <v>46257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30047-2024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46257</v>
      </c>
      <c r="F705" t="inlineStr">
        <is>
          <t>JÖNKÖPINGS LÄN</t>
        </is>
      </c>
      <c r="G705" t="inlineStr">
        <is>
          <t>GISLAVED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18833-2025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45764</v>
      </c>
      <c r="E706" s="1" t="n">
        <v>46257</v>
      </c>
      <c r="F706" t="inlineStr">
        <is>
          <t>JÖNKÖPINGS LÄN</t>
        </is>
      </c>
      <c r="G706" t="inlineStr">
        <is>
          <t>GISLAVED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45418</v>
      </c>
      <c r="E707" s="1" t="n">
        <v>46257</v>
      </c>
      <c r="F707" t="inlineStr">
        <is>
          <t>JÖNKÖPINGS LÄN</t>
        </is>
      </c>
      <c r="G707" t="inlineStr">
        <is>
          <t>GISLAVED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2503-2023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44943</v>
      </c>
      <c r="E708" s="1" t="n">
        <v>46257</v>
      </c>
      <c r="F708" t="inlineStr">
        <is>
          <t>JÖNKÖPINGS LÄN</t>
        </is>
      </c>
      <c r="G708" t="inlineStr">
        <is>
          <t>GISLAVED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45222</v>
      </c>
      <c r="E709" s="1" t="n">
        <v>46257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31545-2023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45117</v>
      </c>
      <c r="E710" s="1" t="n">
        <v>46257</v>
      </c>
      <c r="F710" t="inlineStr">
        <is>
          <t>JÖNKÖPINGS LÄN</t>
        </is>
      </c>
      <c r="G710" t="inlineStr">
        <is>
          <t>GISLAVED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45484</v>
      </c>
      <c r="E711" s="1" t="n">
        <v>46257</v>
      </c>
      <c r="F711" t="inlineStr">
        <is>
          <t>JÖNKÖPINGS LÄN</t>
        </is>
      </c>
      <c r="G711" t="inlineStr">
        <is>
          <t>GISLAVED</t>
        </is>
      </c>
      <c r="H711" t="inlineStr">
        <is>
          <t>Kyrkan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28402-2023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45100</v>
      </c>
      <c r="E712" s="1" t="n">
        <v>46257</v>
      </c>
      <c r="F712" t="inlineStr">
        <is>
          <t>JÖNKÖPINGS LÄN</t>
        </is>
      </c>
      <c r="G712" t="inlineStr">
        <is>
          <t>GISLAVED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46257</v>
      </c>
      <c r="F713" t="inlineStr">
        <is>
          <t>JÖNKÖPINGS LÄN</t>
        </is>
      </c>
      <c r="G713" t="inlineStr">
        <is>
          <t>GISLAVED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31675-2022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44776</v>
      </c>
      <c r="E714" s="1" t="n">
        <v>46257</v>
      </c>
      <c r="F714" t="inlineStr">
        <is>
          <t>JÖNKÖPINGS LÄN</t>
        </is>
      </c>
      <c r="G714" t="inlineStr">
        <is>
          <t>GISLAVED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45189</v>
      </c>
      <c r="E715" s="1" t="n">
        <v>46257</v>
      </c>
      <c r="F715" t="inlineStr">
        <is>
          <t>JÖNKÖPINGS LÄN</t>
        </is>
      </c>
      <c r="G715" t="inlineStr">
        <is>
          <t>GISLAVED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58368-2021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44488</v>
      </c>
      <c r="E716" s="1" t="n">
        <v>46257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46257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46153</v>
      </c>
      <c r="E718" s="1" t="n">
        <v>46257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22162-2026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46153</v>
      </c>
      <c r="E719" s="1" t="n">
        <v>46257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27800-2025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46257</v>
      </c>
      <c r="F720" t="inlineStr">
        <is>
          <t>JÖNKÖPINGS LÄN</t>
        </is>
      </c>
      <c r="G720" t="inlineStr">
        <is>
          <t>GISLAVED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46257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3072-2025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45678</v>
      </c>
      <c r="E722" s="1" t="n">
        <v>46257</v>
      </c>
      <c r="F722" t="inlineStr">
        <is>
          <t>JÖNKÖPINGS LÄN</t>
        </is>
      </c>
      <c r="G722" t="inlineStr">
        <is>
          <t>GISLAVED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22697-2026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46156</v>
      </c>
      <c r="E723" s="1" t="n">
        <v>46257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46156</v>
      </c>
      <c r="E724" s="1" t="n">
        <v>46257</v>
      </c>
      <c r="F724" t="inlineStr">
        <is>
          <t>JÖNKÖPINGS LÄN</t>
        </is>
      </c>
      <c r="G724" t="inlineStr">
        <is>
          <t>GISLAVED</t>
        </is>
      </c>
      <c r="H724" t="inlineStr">
        <is>
          <t>Sveaskog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46156</v>
      </c>
      <c r="E725" s="1" t="n">
        <v>46257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22701-2026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46156</v>
      </c>
      <c r="E726" s="1" t="n">
        <v>46257</v>
      </c>
      <c r="F726" t="inlineStr">
        <is>
          <t>JÖNKÖPINGS LÄN</t>
        </is>
      </c>
      <c r="G726" t="inlineStr">
        <is>
          <t>GISLAVED</t>
        </is>
      </c>
      <c r="H726" t="inlineStr">
        <is>
          <t>Sveaskog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45488</v>
      </c>
      <c r="E727" s="1" t="n">
        <v>46257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45365</v>
      </c>
      <c r="E728" s="1" t="n">
        <v>46257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56177-2024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45624</v>
      </c>
      <c r="E729" s="1" t="n">
        <v>46257</v>
      </c>
      <c r="F729" t="inlineStr">
        <is>
          <t>JÖNKÖPINGS LÄN</t>
        </is>
      </c>
      <c r="G729" t="inlineStr">
        <is>
          <t>GISLAVED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59208-2024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45637</v>
      </c>
      <c r="E730" s="1" t="n">
        <v>46257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21994-2025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46257</v>
      </c>
      <c r="F731" t="inlineStr">
        <is>
          <t>JÖNKÖPINGS LÄN</t>
        </is>
      </c>
      <c r="G731" t="inlineStr">
        <is>
          <t>GISLAVED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46257</v>
      </c>
      <c r="F732" t="inlineStr">
        <is>
          <t>JÖNKÖPINGS LÄN</t>
        </is>
      </c>
      <c r="G732" t="inlineStr">
        <is>
          <t>GISLAVED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59804-2024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46257</v>
      </c>
      <c r="F733" t="inlineStr">
        <is>
          <t>JÖNKÖPINGS LÄN</t>
        </is>
      </c>
      <c r="G733" t="inlineStr">
        <is>
          <t>GISLAVED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32110-2024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45511</v>
      </c>
      <c r="E734" s="1" t="n">
        <v>46257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45678</v>
      </c>
      <c r="E735" s="1" t="n">
        <v>46257</v>
      </c>
      <c r="F735" t="inlineStr">
        <is>
          <t>JÖNKÖPINGS LÄN</t>
        </is>
      </c>
      <c r="G735" t="inlineStr">
        <is>
          <t>GISLAVED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46257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23660-2025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45792</v>
      </c>
      <c r="E737" s="1" t="n">
        <v>46257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45559</v>
      </c>
      <c r="E738" s="1" t="n">
        <v>46257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46257</v>
      </c>
      <c r="F739" t="inlineStr">
        <is>
          <t>JÖNKÖPINGS LÄN</t>
        </is>
      </c>
      <c r="G739" t="inlineStr">
        <is>
          <t>GISLAVED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52233-2022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44873</v>
      </c>
      <c r="E740" s="1" t="n">
        <v>46257</v>
      </c>
      <c r="F740" t="inlineStr">
        <is>
          <t>JÖNKÖPINGS LÄN</t>
        </is>
      </c>
      <c r="G740" t="inlineStr">
        <is>
          <t>GISLAVED</t>
        </is>
      </c>
      <c r="H740" t="inlineStr">
        <is>
          <t>Kyrkan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39654-2024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45552</v>
      </c>
      <c r="E741" s="1" t="n">
        <v>46257</v>
      </c>
      <c r="F741" t="inlineStr">
        <is>
          <t>JÖNKÖPINGS LÄN</t>
        </is>
      </c>
      <c r="G741" t="inlineStr">
        <is>
          <t>GISLAVED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8481-2023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46257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45481</v>
      </c>
      <c r="E743" s="1" t="n">
        <v>46257</v>
      </c>
      <c r="F743" t="inlineStr">
        <is>
          <t>JÖNKÖPINGS LÄN</t>
        </is>
      </c>
      <c r="G743" t="inlineStr">
        <is>
          <t>GISLAVED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45796</v>
      </c>
      <c r="E744" s="1" t="n">
        <v>46257</v>
      </c>
      <c r="F744" t="inlineStr">
        <is>
          <t>JÖNKÖPINGS LÄN</t>
        </is>
      </c>
      <c r="G744" t="inlineStr">
        <is>
          <t>GISLAVED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12152-2025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45729</v>
      </c>
      <c r="E745" s="1" t="n">
        <v>46257</v>
      </c>
      <c r="F745" t="inlineStr">
        <is>
          <t>JÖNKÖPINGS LÄN</t>
        </is>
      </c>
      <c r="G745" t="inlineStr">
        <is>
          <t>GISLAVED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24905-2025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46257</v>
      </c>
      <c r="F746" t="inlineStr">
        <is>
          <t>JÖNKÖPINGS LÄN</t>
        </is>
      </c>
      <c r="G746" t="inlineStr">
        <is>
          <t>GISLAVED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11792-2025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45727</v>
      </c>
      <c r="E747" s="1" t="n">
        <v>46257</v>
      </c>
      <c r="F747" t="inlineStr">
        <is>
          <t>JÖNKÖPINGS LÄN</t>
        </is>
      </c>
      <c r="G747" t="inlineStr">
        <is>
          <t>GISLAVED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45740</v>
      </c>
      <c r="E748" s="1" t="n">
        <v>46257</v>
      </c>
      <c r="F748" t="inlineStr">
        <is>
          <t>JÖNKÖPINGS LÄN</t>
        </is>
      </c>
      <c r="G748" t="inlineStr">
        <is>
          <t>GISLAVED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46257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2939-2022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46257</v>
      </c>
      <c r="F750" t="inlineStr">
        <is>
          <t>JÖNKÖPINGS LÄN</t>
        </is>
      </c>
      <c r="G750" t="inlineStr">
        <is>
          <t>GISLAVED</t>
        </is>
      </c>
      <c r="I750" t="n">
        <v>64.59999999999999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111-2025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45673</v>
      </c>
      <c r="E751" s="1" t="n">
        <v>46257</v>
      </c>
      <c r="F751" t="inlineStr">
        <is>
          <t>JÖNKÖPINGS LÄN</t>
        </is>
      </c>
      <c r="G751" t="inlineStr">
        <is>
          <t>GISLAVED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2925-2022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46257</v>
      </c>
      <c r="F752" t="inlineStr">
        <is>
          <t>JÖNKÖPINGS LÄN</t>
        </is>
      </c>
      <c r="G752" t="inlineStr">
        <is>
          <t>GISLAVED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2924-2022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46257</v>
      </c>
      <c r="F753" t="inlineStr">
        <is>
          <t>JÖNKÖPINGS LÄN</t>
        </is>
      </c>
      <c r="G753" t="inlineStr">
        <is>
          <t>GISLAVED</t>
        </is>
      </c>
      <c r="I753" t="n">
        <v>9.9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1530-2024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46257</v>
      </c>
      <c r="F754" t="inlineStr">
        <is>
          <t>JÖNKÖPINGS LÄN</t>
        </is>
      </c>
      <c r="G754" t="inlineStr">
        <is>
          <t>GISLAVED</t>
        </is>
      </c>
      <c r="I754" t="n">
        <v>46.2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2928-2022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46257</v>
      </c>
      <c r="F755" t="inlineStr">
        <is>
          <t>JÖNKÖPINGS LÄN</t>
        </is>
      </c>
      <c r="G755" t="inlineStr">
        <is>
          <t>GISLAVED</t>
        </is>
      </c>
      <c r="I755" t="n">
        <v>26.5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46257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2903-2022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44711</v>
      </c>
      <c r="E757" s="1" t="n">
        <v>46257</v>
      </c>
      <c r="F757" t="inlineStr">
        <is>
          <t>JÖNKÖPINGS LÄN</t>
        </is>
      </c>
      <c r="G757" t="inlineStr">
        <is>
          <t>GISLAVED</t>
        </is>
      </c>
      <c r="I757" t="n">
        <v>30.2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2921-2022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44711</v>
      </c>
      <c r="E758" s="1" t="n">
        <v>46257</v>
      </c>
      <c r="F758" t="inlineStr">
        <is>
          <t>JÖNKÖPINGS LÄN</t>
        </is>
      </c>
      <c r="G758" t="inlineStr">
        <is>
          <t>GISLAVED</t>
        </is>
      </c>
      <c r="I758" t="n">
        <v>20.7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1532-2024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46257</v>
      </c>
      <c r="F759" t="inlineStr">
        <is>
          <t>JÖNKÖPINGS LÄN</t>
        </is>
      </c>
      <c r="G759" t="inlineStr">
        <is>
          <t>GISLAVED</t>
        </is>
      </c>
      <c r="I759" t="n">
        <v>62.8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4858-2022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44805</v>
      </c>
      <c r="E760" s="1" t="n">
        <v>46257</v>
      </c>
      <c r="F760" t="inlineStr">
        <is>
          <t>JÖNKÖPINGS LÄN</t>
        </is>
      </c>
      <c r="G760" t="inlineStr">
        <is>
          <t>GISLAVED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1531-2024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45422</v>
      </c>
      <c r="E761" s="1" t="n">
        <v>46257</v>
      </c>
      <c r="F761" t="inlineStr">
        <is>
          <t>JÖNKÖPINGS LÄN</t>
        </is>
      </c>
      <c r="G761" t="inlineStr">
        <is>
          <t>GISLAVED</t>
        </is>
      </c>
      <c r="I761" t="n">
        <v>21.5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1668-2024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45432</v>
      </c>
      <c r="E762" s="1" t="n">
        <v>46257</v>
      </c>
      <c r="F762" t="inlineStr">
        <is>
          <t>JÖNKÖPINGS LÄN</t>
        </is>
      </c>
      <c r="G762" t="inlineStr">
        <is>
          <t>GISLAVED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697-2025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45720</v>
      </c>
      <c r="E763" s="1" t="n">
        <v>46257</v>
      </c>
      <c r="F763" t="inlineStr">
        <is>
          <t>JÖNKÖPINGS LÄN</t>
        </is>
      </c>
      <c r="G763" t="inlineStr">
        <is>
          <t>GISLAVED</t>
        </is>
      </c>
      <c r="I763" t="n">
        <v>61.1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2979-2025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45957</v>
      </c>
      <c r="E764" s="1" t="n">
        <v>46257</v>
      </c>
      <c r="F764" t="inlineStr">
        <is>
          <t>JÖNKÖPINGS LÄN</t>
        </is>
      </c>
      <c r="G764" t="inlineStr">
        <is>
          <t>GISLAVED</t>
        </is>
      </c>
      <c r="I764" t="n">
        <v>20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3263-2025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45985</v>
      </c>
      <c r="E765" s="1" t="n">
        <v>46257</v>
      </c>
      <c r="F765" t="inlineStr">
        <is>
          <t>JÖNKÖPINGS LÄN</t>
        </is>
      </c>
      <c r="G765" t="inlineStr">
        <is>
          <t>GISLAVED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3514-2025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46006</v>
      </c>
      <c r="E766" s="1" t="n">
        <v>46257</v>
      </c>
      <c r="F766" t="inlineStr">
        <is>
          <t>JÖNKÖPINGS LÄN</t>
        </is>
      </c>
      <c r="G766" t="inlineStr">
        <is>
          <t>GISLAVED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46257</v>
      </c>
      <c r="F767" t="inlineStr">
        <is>
          <t>JÖNKÖPINGS LÄN</t>
        </is>
      </c>
      <c r="G767" t="inlineStr">
        <is>
          <t>GISLAVED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103-2026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46037</v>
      </c>
      <c r="E768" s="1" t="n">
        <v>46257</v>
      </c>
      <c r="F768" t="inlineStr">
        <is>
          <t>JÖNKÖPINGS LÄN</t>
        </is>
      </c>
      <c r="G768" t="inlineStr">
        <is>
          <t>GISLAVED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129-2026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46041</v>
      </c>
      <c r="E769" s="1" t="n">
        <v>46257</v>
      </c>
      <c r="F769" t="inlineStr">
        <is>
          <t>JÖNKÖPINGS LÄN</t>
        </is>
      </c>
      <c r="G769" t="inlineStr">
        <is>
          <t>GISLAVED</t>
        </is>
      </c>
      <c r="I769" t="n">
        <v>13.4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46048</v>
      </c>
      <c r="E770" s="1" t="n">
        <v>46257</v>
      </c>
      <c r="F770" t="inlineStr">
        <is>
          <t>JÖNKÖPINGS LÄN</t>
        </is>
      </c>
      <c r="G770" t="inlineStr">
        <is>
          <t>GISLAVED</t>
        </is>
      </c>
      <c r="I770" t="n">
        <v>15.1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225-2026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46257</v>
      </c>
      <c r="F771" t="inlineStr">
        <is>
          <t>JÖNKÖPINGS LÄN</t>
        </is>
      </c>
      <c r="G771" t="inlineStr">
        <is>
          <t>GISLAVED</t>
        </is>
      </c>
      <c r="I771" t="n">
        <v>12.1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46257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46257</v>
      </c>
      <c r="F773" t="inlineStr">
        <is>
          <t>JÖNKÖPINGS LÄN</t>
        </is>
      </c>
      <c r="G773" t="inlineStr">
        <is>
          <t>GISLAVED</t>
        </is>
      </c>
      <c r="I773" t="n">
        <v>18.3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241-2026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46052</v>
      </c>
      <c r="E774" s="1" t="n">
        <v>46257</v>
      </c>
      <c r="F774" t="inlineStr">
        <is>
          <t>JÖNKÖPINGS LÄN</t>
        </is>
      </c>
      <c r="G774" t="inlineStr">
        <is>
          <t>GISLAVED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327-2026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46062</v>
      </c>
      <c r="E775" s="1" t="n">
        <v>46257</v>
      </c>
      <c r="F775" t="inlineStr">
        <is>
          <t>JÖNKÖPINGS LÄN</t>
        </is>
      </c>
      <c r="G775" t="inlineStr">
        <is>
          <t>GISLAVED</t>
        </is>
      </c>
      <c r="I775" t="n">
        <v>26.6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326-2026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46062</v>
      </c>
      <c r="E776" s="1" t="n">
        <v>46257</v>
      </c>
      <c r="F776" t="inlineStr">
        <is>
          <t>JÖNKÖPINGS LÄN</t>
        </is>
      </c>
      <c r="G776" t="inlineStr">
        <is>
          <t>GISLAVED</t>
        </is>
      </c>
      <c r="I776" t="n">
        <v>13.6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426-2026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46071</v>
      </c>
      <c r="E777" s="1" t="n">
        <v>46257</v>
      </c>
      <c r="F777" t="inlineStr">
        <is>
          <t>JÖNKÖPINGS LÄN</t>
        </is>
      </c>
      <c r="G777" t="inlineStr">
        <is>
          <t>GISLAVED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711-2026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46092</v>
      </c>
      <c r="E778" s="1" t="n">
        <v>46257</v>
      </c>
      <c r="F778" t="inlineStr">
        <is>
          <t>JÖNKÖPINGS LÄN</t>
        </is>
      </c>
      <c r="G778" t="inlineStr">
        <is>
          <t>GISLAVED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766-2026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46098</v>
      </c>
      <c r="E779" s="1" t="n">
        <v>46257</v>
      </c>
      <c r="F779" t="inlineStr">
        <is>
          <t>JÖNKÖPINGS LÄN</t>
        </is>
      </c>
      <c r="G779" t="inlineStr">
        <is>
          <t>GISLAVED</t>
        </is>
      </c>
      <c r="I779" t="n">
        <v>10.1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908-2026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46110</v>
      </c>
      <c r="E780" s="1" t="n">
        <v>46257</v>
      </c>
      <c r="F780" t="inlineStr">
        <is>
          <t>JÖNKÖPINGS LÄN</t>
        </is>
      </c>
      <c r="G780" t="inlineStr">
        <is>
          <t>GISLAVED</t>
        </is>
      </c>
      <c r="I780" t="n">
        <v>13.5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907-2026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46110</v>
      </c>
      <c r="E781" s="1" t="n">
        <v>46257</v>
      </c>
      <c r="F781" t="inlineStr">
        <is>
          <t>JÖNKÖPINGS LÄN</t>
        </is>
      </c>
      <c r="G781" t="inlineStr">
        <is>
          <t>GISLAVED</t>
        </is>
      </c>
      <c r="I781" t="n">
        <v>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>
      <c r="A782" t="inlineStr">
        <is>
          <t>S 962-2026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46114</v>
      </c>
      <c r="E782" s="1" t="n">
        <v>46257</v>
      </c>
      <c r="F782" t="inlineStr">
        <is>
          <t>JÖNKÖPINGS LÄN</t>
        </is>
      </c>
      <c r="G782" t="inlineStr">
        <is>
          <t>GISLAVED</t>
        </is>
      </c>
      <c r="I782" t="n">
        <v>36.1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2026-08-23T01:52:51Z</dcterms:created>
  <dcterms:modified xmlns:dcterms="http://purl.org/dc/terms/" xmlns:xsi="http://www.w3.org/2001/XMLSchema-instance" xsi:type="dcterms:W3CDTF">2026-08-23T01:52:52Z</dcterms:modified>
</cp:coreProperties>
</file>