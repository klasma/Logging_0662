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46281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46281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46281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46281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46281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46281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46281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46281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46281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46281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6546-2025 artfynd.xlsx", "A 6546-2025")</f>
        <v/>
      </c>
      <c r="X17">
        <f>HYPERLINK("https://klasma.github.io/Logging_0662/kartor/A 6546-2025 karta.png", "A 6546-2025")</f>
        <v/>
      </c>
      <c r="Y17">
        <f>HYPERLINK("https://klasma.github.io/Logging_0662/kartor_geotiff/A 6546-2025 georefererad karta.tif", "A 6546-2025")</f>
        <v/>
      </c>
      <c r="AA17">
        <f>HYPERLINK("https://klasma.github.io/Logging_0662/klagomål/A 6546-2025 FSC-klagomål.docx", "A 6546-2025")</f>
        <v/>
      </c>
      <c r="AB17">
        <f>HYPERLINK("https://klasma.github.io/Logging_0662/klagomålsmail/A 6546-2025 FSC-klagomål mail.docx", "A 6546-2025")</f>
        <v/>
      </c>
      <c r="AC17">
        <f>HYPERLINK("https://klasma.github.io/Logging_0662/tillsyn/A 6546-2025 tillsynsbegäran.docx", "A 6546-2025")</f>
        <v/>
      </c>
      <c r="AD17">
        <f>HYPERLINK("https://klasma.github.io/Logging_0662/tillsynsmail/A 6546-2025 tillsynsbegäran mail.docx", "A 6546-2025")</f>
        <v/>
      </c>
    </row>
    <row r="18" ht="15" customHeight="1">
      <c r="A18" t="inlineStr">
        <is>
          <t>A 27358-2022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44742</v>
      </c>
      <c r="E18" s="1" t="n">
        <v>46281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Kambräken</t>
        </is>
      </c>
      <c r="W18">
        <f>HYPERLINK("https://klasma.github.io/Logging_0662/artfynd/A 27358-2022 artfynd.xlsx", "A 27358-2022")</f>
        <v/>
      </c>
      <c r="X18">
        <f>HYPERLINK("https://klasma.github.io/Logging_0662/kartor/A 27358-2022 karta.png", "A 27358-2022")</f>
        <v/>
      </c>
      <c r="Y18">
        <f>HYPERLINK("https://klasma.github.io/Logging_0662/kartor_geotiff/A 27358-2022 georefererad karta.tif", "A 27358-2022")</f>
        <v/>
      </c>
      <c r="AA18">
        <f>HYPERLINK("https://klasma.github.io/Logging_0662/klagomål/A 27358-2022 FSC-klagomål.docx", "A 27358-2022")</f>
        <v/>
      </c>
      <c r="AB18">
        <f>HYPERLINK("https://klasma.github.io/Logging_0662/klagomålsmail/A 27358-2022 FSC-klagomål mail.docx", "A 27358-2022")</f>
        <v/>
      </c>
      <c r="AC18">
        <f>HYPERLINK("https://klasma.github.io/Logging_0662/tillsyn/A 27358-2022 tillsynsbegäran.docx", "A 27358-2022")</f>
        <v/>
      </c>
      <c r="AD18">
        <f>HYPERLINK("https://klasma.github.io/Logging_0662/tillsynsmail/A 27358-2022 tillsynsbegäran mail.docx", "A 27358-2022")</f>
        <v/>
      </c>
    </row>
    <row r="19" ht="15" customHeight="1">
      <c r="A19" t="inlineStr">
        <is>
          <t>A 57243-2024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46281</v>
      </c>
      <c r="F19" t="inlineStr">
        <is>
          <t>JÖNKÖPINGS LÄN</t>
        </is>
      </c>
      <c r="G19" t="inlineStr">
        <is>
          <t>GISLAVED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57243-2024 artfynd.xlsx", "A 57243-2024")</f>
        <v/>
      </c>
      <c r="X19">
        <f>HYPERLINK("https://klasma.github.io/Logging_0662/kartor/A 57243-2024 karta.png", "A 57243-2024")</f>
        <v/>
      </c>
      <c r="Y19">
        <f>HYPERLINK("https://klasma.github.io/Logging_0662/kartor_geotiff/A 57243-2024 georefererad karta.tif", "A 57243-2024")</f>
        <v/>
      </c>
      <c r="AA19">
        <f>HYPERLINK("https://klasma.github.io/Logging_0662/klagomål/A 57243-2024 FSC-klagomål.docx", "A 57243-2024")</f>
        <v/>
      </c>
      <c r="AB19">
        <f>HYPERLINK("https://klasma.github.io/Logging_0662/klagomålsmail/A 57243-2024 FSC-klagomål mail.docx", "A 57243-2024")</f>
        <v/>
      </c>
      <c r="AC19">
        <f>HYPERLINK("https://klasma.github.io/Logging_0662/tillsyn/A 57243-2024 tillsynsbegäran.docx", "A 57243-2024")</f>
        <v/>
      </c>
      <c r="AD19">
        <f>HYPERLINK("https://klasma.github.io/Logging_0662/tillsynsmail/A 57243-2024 tillsynsbegäran mail.docx", "A 57243-2024")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46281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40023-2024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45553</v>
      </c>
      <c r="E22" s="1" t="n">
        <v>46281</v>
      </c>
      <c r="F22" t="inlineStr">
        <is>
          <t>JÖNKÖPINGS LÄN</t>
        </is>
      </c>
      <c r="G22" t="inlineStr">
        <is>
          <t>GISLAVED</t>
        </is>
      </c>
      <c r="I22" t="n">
        <v>9.4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Kungsörn</t>
        </is>
      </c>
      <c r="W22">
        <f>HYPERLINK("https://klasma.github.io/Logging_0662/artfynd/A 40023-2024 artfynd.xlsx", "A 40023-2024")</f>
        <v/>
      </c>
      <c r="X22">
        <f>HYPERLINK("https://klasma.github.io/Logging_0662/kartor/A 40023-2024 karta.png", "A 40023-2024")</f>
        <v/>
      </c>
      <c r="Y22">
        <f>HYPERLINK("https://klasma.github.io/Logging_0662/kartor_geotiff/A 40023-2024 georefererad karta.tif", "A 40023-2024")</f>
        <v/>
      </c>
      <c r="AA22">
        <f>HYPERLINK("https://klasma.github.io/Logging_0662/klagomål/A 40023-2024 FSC-klagomål.docx", "A 40023-2024")</f>
        <v/>
      </c>
      <c r="AB22">
        <f>HYPERLINK("https://klasma.github.io/Logging_0662/klagomålsmail/A 40023-2024 FSC-klagomål mail.docx", "A 40023-2024")</f>
        <v/>
      </c>
      <c r="AC22">
        <f>HYPERLINK("https://klasma.github.io/Logging_0662/tillsyn/A 40023-2024 tillsynsbegäran.docx", "A 40023-2024")</f>
        <v/>
      </c>
      <c r="AD22">
        <f>HYPERLINK("https://klasma.github.io/Logging_0662/tillsynsmail/A 40023-2024 tillsynsbegäran mail.docx", "A 40023-2024")</f>
        <v/>
      </c>
      <c r="AE22">
        <f>HYPERLINK("https://klasma.github.io/Logging_0662/fåglar/A 40023-2024 prioriterade fågelarter.docx", "A 40023-2024")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46281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46281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46281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46281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18423-2024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45425</v>
      </c>
      <c r="E27" s="1" t="n">
        <v>46281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Ljungögontröst</t>
        </is>
      </c>
      <c r="W27">
        <f>HYPERLINK("https://klasma.github.io/Logging_0662/artfynd/A 18423-2024 artfynd.xlsx", "A 18423-2024")</f>
        <v/>
      </c>
      <c r="X27">
        <f>HYPERLINK("https://klasma.github.io/Logging_0662/kartor/A 18423-2024 karta.png", "A 18423-2024")</f>
        <v/>
      </c>
      <c r="Y27">
        <f>HYPERLINK("https://klasma.github.io/Logging_0662/kartor_geotiff/A 18423-2024 georefererad karta.tif", "A 18423-2024")</f>
        <v/>
      </c>
      <c r="AA27">
        <f>HYPERLINK("https://klasma.github.io/Logging_0662/klagomål/A 18423-2024 FSC-klagomål.docx", "A 18423-2024")</f>
        <v/>
      </c>
      <c r="AB27">
        <f>HYPERLINK("https://klasma.github.io/Logging_0662/klagomålsmail/A 18423-2024 FSC-klagomål mail.docx", "A 18423-2024")</f>
        <v/>
      </c>
      <c r="AC27">
        <f>HYPERLINK("https://klasma.github.io/Logging_0662/tillsyn/A 18423-2024 tillsynsbegäran.docx", "A 18423-2024")</f>
        <v/>
      </c>
      <c r="AD27">
        <f>HYPERLINK("https://klasma.github.io/Logging_0662/tillsynsmail/A 18423-2024 tillsynsbegäran mail.docx", "A 18423-2024")</f>
        <v/>
      </c>
    </row>
    <row r="28" ht="15" customHeight="1">
      <c r="A28" t="inlineStr">
        <is>
          <t>A 47837-2024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45588</v>
      </c>
      <c r="E28" s="1" t="n">
        <v>46281</v>
      </c>
      <c r="F28" t="inlineStr">
        <is>
          <t>JÖNKÖPINGS LÄN</t>
        </is>
      </c>
      <c r="G28" t="inlineStr">
        <is>
          <t>GISLAVED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HYPERLINK("https://klasma.github.io/Logging_0662/artfynd/A 47837-2024 artfynd.xlsx", "A 47837-2024")</f>
        <v/>
      </c>
      <c r="X28">
        <f>HYPERLINK("https://klasma.github.io/Logging_0662/kartor/A 47837-2024 karta.png", "A 47837-2024")</f>
        <v/>
      </c>
      <c r="Y28">
        <f>HYPERLINK("https://klasma.github.io/Logging_0662/kartor_geotiff/A 47837-2024 georefererad karta.tif", "A 47837-2024")</f>
        <v/>
      </c>
      <c r="AA28">
        <f>HYPERLINK("https://klasma.github.io/Logging_0662/klagomål/A 47837-2024 FSC-klagomål.docx", "A 47837-2024")</f>
        <v/>
      </c>
      <c r="AB28">
        <f>HYPERLINK("https://klasma.github.io/Logging_0662/klagomålsmail/A 47837-2024 FSC-klagomål mail.docx", "A 47837-2024")</f>
        <v/>
      </c>
      <c r="AC28">
        <f>HYPERLINK("https://klasma.github.io/Logging_0662/tillsyn/A 47837-2024 tillsynsbegäran.docx", "A 47837-2024")</f>
        <v/>
      </c>
      <c r="AD28">
        <f>HYPERLINK("https://klasma.github.io/Logging_0662/tillsynsmail/A 47837-2024 tillsynsbegäran mail.docx", "A 47837-2024")</f>
        <v/>
      </c>
      <c r="AE28">
        <f>HYPERLINK("https://klasma.github.io/Logging_0662/fåglar/A 47837-2024 prioriterade fågelarter.docx", "A 47837-2024")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46281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46281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46281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46281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46281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46281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46281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46281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46281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46281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46281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46281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46281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46281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46281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46281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46281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46281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46281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46281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46281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46281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46281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46281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46281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46281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46281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46281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46281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46281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46281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46281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46281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46281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46281</v>
      </c>
      <c r="F63" t="inlineStr">
        <is>
          <t>JÖNKÖPINGS LÄN</t>
        </is>
      </c>
      <c r="G63" t="inlineStr">
        <is>
          <t>GISLAVED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46281</v>
      </c>
      <c r="F64" t="inlineStr">
        <is>
          <t>JÖNKÖPINGS LÄN</t>
        </is>
      </c>
      <c r="G64" t="inlineStr">
        <is>
          <t>GISLAVED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46281</v>
      </c>
      <c r="F65" t="inlineStr">
        <is>
          <t>JÖNKÖPINGS LÄN</t>
        </is>
      </c>
      <c r="G65" t="inlineStr">
        <is>
          <t>GISLAVED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46281</v>
      </c>
      <c r="F66" t="inlineStr">
        <is>
          <t>JÖNKÖPINGS LÄN</t>
        </is>
      </c>
      <c r="G66" t="inlineStr">
        <is>
          <t>GISLAVED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46281</v>
      </c>
      <c r="F67" t="inlineStr">
        <is>
          <t>JÖNKÖPINGS LÄN</t>
        </is>
      </c>
      <c r="G67" t="inlineStr">
        <is>
          <t>GISLAVED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46281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46281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46281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46281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46281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46281</v>
      </c>
      <c r="F73" t="inlineStr">
        <is>
          <t>JÖNKÖPINGS LÄN</t>
        </is>
      </c>
      <c r="G73" t="inlineStr">
        <is>
          <t>GISLAVED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45698</v>
      </c>
      <c r="E74" s="1" t="n">
        <v>46281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58950-2021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46281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46281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46281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44753</v>
      </c>
      <c r="E78" s="1" t="n">
        <v>46281</v>
      </c>
      <c r="F78" t="inlineStr">
        <is>
          <t>JÖNKÖPINGS LÄN</t>
        </is>
      </c>
      <c r="G78" t="inlineStr">
        <is>
          <t>GISLAVED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46281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46281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46281</v>
      </c>
      <c r="F81" t="inlineStr">
        <is>
          <t>JÖNKÖPINGS LÄN</t>
        </is>
      </c>
      <c r="G81" t="inlineStr">
        <is>
          <t>GISLAVED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46281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46281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46281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46281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46281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46281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46281</v>
      </c>
      <c r="F88" t="inlineStr">
        <is>
          <t>JÖNKÖPINGS LÄN</t>
        </is>
      </c>
      <c r="G88" t="inlineStr">
        <is>
          <t>GISLAVED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46281</v>
      </c>
      <c r="F89" t="inlineStr">
        <is>
          <t>JÖNKÖPINGS LÄN</t>
        </is>
      </c>
      <c r="G89" t="inlineStr">
        <is>
          <t>GISLAVED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46281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46281</v>
      </c>
      <c r="F91" t="inlineStr">
        <is>
          <t>JÖNKÖPINGS LÄN</t>
        </is>
      </c>
      <c r="G91" t="inlineStr">
        <is>
          <t>GISLAVED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46281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46281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46281</v>
      </c>
      <c r="F94" t="inlineStr">
        <is>
          <t>JÖNKÖPINGS LÄN</t>
        </is>
      </c>
      <c r="G94" t="inlineStr">
        <is>
          <t>GISLAVED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46281</v>
      </c>
      <c r="F95" t="inlineStr">
        <is>
          <t>JÖNKÖPINGS LÄN</t>
        </is>
      </c>
      <c r="G95" t="inlineStr">
        <is>
          <t>GISLAVED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46281</v>
      </c>
      <c r="F96" t="inlineStr">
        <is>
          <t>JÖNKÖPINGS LÄN</t>
        </is>
      </c>
      <c r="G96" t="inlineStr">
        <is>
          <t>GISLAVED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46281</v>
      </c>
      <c r="F97" t="inlineStr">
        <is>
          <t>JÖNKÖPINGS LÄN</t>
        </is>
      </c>
      <c r="G97" t="inlineStr">
        <is>
          <t>GISLAVED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46281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46281</v>
      </c>
      <c r="F99" t="inlineStr">
        <is>
          <t>JÖNKÖPINGS LÄN</t>
        </is>
      </c>
      <c r="G99" t="inlineStr">
        <is>
          <t>GISLAVED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72035-2021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46281</v>
      </c>
      <c r="F100" t="inlineStr">
        <is>
          <t>JÖNKÖPINGS LÄN</t>
        </is>
      </c>
      <c r="G100" t="inlineStr">
        <is>
          <t>GISLAVED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44550</v>
      </c>
      <c r="E101" s="1" t="n">
        <v>46281</v>
      </c>
      <c r="F101" t="inlineStr">
        <is>
          <t>JÖNKÖPINGS LÄN</t>
        </is>
      </c>
      <c r="G101" t="inlineStr">
        <is>
          <t>GISLAVED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46281</v>
      </c>
      <c r="F102" t="inlineStr">
        <is>
          <t>JÖNKÖPINGS LÄN</t>
        </is>
      </c>
      <c r="G102" t="inlineStr">
        <is>
          <t>GISLAVED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45301</v>
      </c>
      <c r="E103" s="1" t="n">
        <v>46281</v>
      </c>
      <c r="F103" t="inlineStr">
        <is>
          <t>JÖNKÖPINGS LÄN</t>
        </is>
      </c>
      <c r="G103" t="inlineStr">
        <is>
          <t>GISLAVED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46281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46281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45702</v>
      </c>
      <c r="E106" s="1" t="n">
        <v>46281</v>
      </c>
      <c r="F106" t="inlineStr">
        <is>
          <t>JÖNKÖPINGS LÄN</t>
        </is>
      </c>
      <c r="G106" t="inlineStr">
        <is>
          <t>GISLAVED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46281</v>
      </c>
      <c r="F107" t="inlineStr">
        <is>
          <t>JÖNKÖPINGS LÄN</t>
        </is>
      </c>
      <c r="G107" t="inlineStr">
        <is>
          <t>GISLAVED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45427</v>
      </c>
      <c r="E108" s="1" t="n">
        <v>46281</v>
      </c>
      <c r="F108" t="inlineStr">
        <is>
          <t>JÖNKÖPINGS LÄN</t>
        </is>
      </c>
      <c r="G108" t="inlineStr">
        <is>
          <t>GISLAVED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46281</v>
      </c>
      <c r="F109" t="inlineStr">
        <is>
          <t>JÖNKÖPINGS LÄN</t>
        </is>
      </c>
      <c r="G109" t="inlineStr">
        <is>
          <t>GISLAVED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45880</v>
      </c>
      <c r="E110" s="1" t="n">
        <v>46281</v>
      </c>
      <c r="F110" t="inlineStr">
        <is>
          <t>JÖNKÖPINGS LÄN</t>
        </is>
      </c>
      <c r="G110" t="inlineStr">
        <is>
          <t>GISLAVED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46281</v>
      </c>
      <c r="F111" t="inlineStr">
        <is>
          <t>JÖNKÖPINGS LÄN</t>
        </is>
      </c>
      <c r="G111" t="inlineStr">
        <is>
          <t>GISLAVED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46281</v>
      </c>
      <c r="F112" t="inlineStr">
        <is>
          <t>JÖNKÖPINGS LÄN</t>
        </is>
      </c>
      <c r="G112" t="inlineStr">
        <is>
          <t>GISLAVED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37734-2025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46281</v>
      </c>
      <c r="F113" t="inlineStr">
        <is>
          <t>JÖNKÖPINGS LÄN</t>
        </is>
      </c>
      <c r="G113" t="inlineStr">
        <is>
          <t>GISLAVED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45235</v>
      </c>
      <c r="E114" s="1" t="n">
        <v>46281</v>
      </c>
      <c r="F114" t="inlineStr">
        <is>
          <t>JÖNKÖPINGS LÄN</t>
        </is>
      </c>
      <c r="G114" t="inlineStr">
        <is>
          <t>GISLAVED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46281</v>
      </c>
      <c r="F115" t="inlineStr">
        <is>
          <t>JÖNKÖPINGS LÄN</t>
        </is>
      </c>
      <c r="G115" t="inlineStr">
        <is>
          <t>GISLAVED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46281</v>
      </c>
      <c r="F116" t="inlineStr">
        <is>
          <t>JÖNKÖPINGS LÄN</t>
        </is>
      </c>
      <c r="G116" t="inlineStr">
        <is>
          <t>GISLAVED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46281</v>
      </c>
      <c r="F117" t="inlineStr">
        <is>
          <t>JÖNKÖPINGS LÄN</t>
        </is>
      </c>
      <c r="G117" t="inlineStr">
        <is>
          <t>GISLAVED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46281</v>
      </c>
      <c r="F118" t="inlineStr">
        <is>
          <t>JÖNKÖPINGS LÄN</t>
        </is>
      </c>
      <c r="G118" t="inlineStr">
        <is>
          <t>GISLAVED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38111-2025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46281</v>
      </c>
      <c r="F119" t="inlineStr">
        <is>
          <t>JÖNKÖPINGS LÄN</t>
        </is>
      </c>
      <c r="G119" t="inlineStr">
        <is>
          <t>GISLAVED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46281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45882</v>
      </c>
      <c r="E121" s="1" t="n">
        <v>46281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46281</v>
      </c>
      <c r="F122" t="inlineStr">
        <is>
          <t>JÖNKÖPINGS LÄN</t>
        </is>
      </c>
      <c r="G122" t="inlineStr">
        <is>
          <t>GISLAVED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46281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46281</v>
      </c>
      <c r="F124" t="inlineStr">
        <is>
          <t>JÖNKÖPINGS LÄN</t>
        </is>
      </c>
      <c r="G124" t="inlineStr">
        <is>
          <t>GISLAVED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46281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44909</v>
      </c>
      <c r="E126" s="1" t="n">
        <v>46281</v>
      </c>
      <c r="F126" t="inlineStr">
        <is>
          <t>JÖNKÖPINGS LÄN</t>
        </is>
      </c>
      <c r="G126" t="inlineStr">
        <is>
          <t>GISLAVED</t>
        </is>
      </c>
      <c r="H126" t="inlineStr">
        <is>
          <t>Kommuner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46281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46281</v>
      </c>
      <c r="F128" t="inlineStr">
        <is>
          <t>JÖNKÖPINGS LÄN</t>
        </is>
      </c>
      <c r="G128" t="inlineStr">
        <is>
          <t>GISLAVED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46281</v>
      </c>
      <c r="F129" t="inlineStr">
        <is>
          <t>JÖNKÖPINGS LÄN</t>
        </is>
      </c>
      <c r="G129" t="inlineStr">
        <is>
          <t>GISLAVED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46281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46281</v>
      </c>
      <c r="F131" t="inlineStr">
        <is>
          <t>JÖNKÖPINGS LÄN</t>
        </is>
      </c>
      <c r="G131" t="inlineStr">
        <is>
          <t>GISLAVED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46281</v>
      </c>
      <c r="F132" t="inlineStr">
        <is>
          <t>JÖNKÖPINGS LÄN</t>
        </is>
      </c>
      <c r="G132" t="inlineStr">
        <is>
          <t>GISLAVED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46281</v>
      </c>
      <c r="F133" t="inlineStr">
        <is>
          <t>JÖNKÖPINGS LÄN</t>
        </is>
      </c>
      <c r="G133" t="inlineStr">
        <is>
          <t>GISLAVED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73545-2021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46281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46281</v>
      </c>
      <c r="F135" t="inlineStr">
        <is>
          <t>JÖNKÖPINGS LÄN</t>
        </is>
      </c>
      <c r="G135" t="inlineStr">
        <is>
          <t>GISLAVED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46281</v>
      </c>
      <c r="F136" t="inlineStr">
        <is>
          <t>JÖNKÖPINGS LÄN</t>
        </is>
      </c>
      <c r="G136" t="inlineStr">
        <is>
          <t>GISLAVED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61368-2023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46281</v>
      </c>
      <c r="F137" t="inlineStr">
        <is>
          <t>JÖNKÖPINGS LÄN</t>
        </is>
      </c>
      <c r="G137" t="inlineStr">
        <is>
          <t>GISLAVED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46281</v>
      </c>
      <c r="F138" t="inlineStr">
        <is>
          <t>JÖNKÖPINGS LÄN</t>
        </is>
      </c>
      <c r="G138" t="inlineStr">
        <is>
          <t>GISLAVED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58390-2023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45250</v>
      </c>
      <c r="E139" s="1" t="n">
        <v>46281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46281</v>
      </c>
      <c r="F140" t="inlineStr">
        <is>
          <t>JÖNKÖPINGS LÄN</t>
        </is>
      </c>
      <c r="G140" t="inlineStr">
        <is>
          <t>GISLAVED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46281</v>
      </c>
      <c r="F141" t="inlineStr">
        <is>
          <t>JÖNKÖPINGS LÄN</t>
        </is>
      </c>
      <c r="G141" t="inlineStr">
        <is>
          <t>GISLAVED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46281</v>
      </c>
      <c r="F142" t="inlineStr">
        <is>
          <t>JÖNKÖPINGS LÄN</t>
        </is>
      </c>
      <c r="G142" t="inlineStr">
        <is>
          <t>GISLAVED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46281</v>
      </c>
      <c r="F143" t="inlineStr">
        <is>
          <t>JÖNKÖPINGS LÄN</t>
        </is>
      </c>
      <c r="G143" t="inlineStr">
        <is>
          <t>GISLAVED</t>
        </is>
      </c>
      <c r="H143" t="inlineStr">
        <is>
          <t>Kyrkan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46281</v>
      </c>
      <c r="F144" t="inlineStr">
        <is>
          <t>JÖNKÖPINGS LÄN</t>
        </is>
      </c>
      <c r="G144" t="inlineStr">
        <is>
          <t>GISLAVED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44923</v>
      </c>
      <c r="E145" s="1" t="n">
        <v>46281</v>
      </c>
      <c r="F145" t="inlineStr">
        <is>
          <t>JÖNKÖPINGS LÄN</t>
        </is>
      </c>
      <c r="G145" t="inlineStr">
        <is>
          <t>GISLAVED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46281</v>
      </c>
      <c r="F146" t="inlineStr">
        <is>
          <t>JÖNKÖPINGS LÄN</t>
        </is>
      </c>
      <c r="G146" t="inlineStr">
        <is>
          <t>GISLAVED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46079</v>
      </c>
      <c r="E147" s="1" t="n">
        <v>46281</v>
      </c>
      <c r="F147" t="inlineStr">
        <is>
          <t>JÖNKÖPINGS LÄN</t>
        </is>
      </c>
      <c r="G147" t="inlineStr">
        <is>
          <t>GISLAVED</t>
        </is>
      </c>
      <c r="H147" t="inlineStr">
        <is>
          <t>Kyrkan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46079</v>
      </c>
      <c r="E148" s="1" t="n">
        <v>46281</v>
      </c>
      <c r="F148" t="inlineStr">
        <is>
          <t>JÖNKÖPINGS LÄN</t>
        </is>
      </c>
      <c r="G148" t="inlineStr">
        <is>
          <t>GISLAVED</t>
        </is>
      </c>
      <c r="H148" t="inlineStr">
        <is>
          <t>Kyrkan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45465</v>
      </c>
      <c r="E149" s="1" t="n">
        <v>46281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46281</v>
      </c>
      <c r="F150" t="inlineStr">
        <is>
          <t>JÖNKÖPINGS LÄN</t>
        </is>
      </c>
      <c r="G150" t="inlineStr">
        <is>
          <t>GISLAVED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45596</v>
      </c>
      <c r="E151" s="1" t="n">
        <v>46281</v>
      </c>
      <c r="F151" t="inlineStr">
        <is>
          <t>JÖNKÖPINGS LÄN</t>
        </is>
      </c>
      <c r="G151" t="inlineStr">
        <is>
          <t>GISLAVED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46281</v>
      </c>
      <c r="F152" t="inlineStr">
        <is>
          <t>JÖNKÖPINGS LÄN</t>
        </is>
      </c>
      <c r="G152" t="inlineStr">
        <is>
          <t>GISLAVED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46281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46080</v>
      </c>
      <c r="E154" s="1" t="n">
        <v>46281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45135</v>
      </c>
      <c r="E155" s="1" t="n">
        <v>46281</v>
      </c>
      <c r="F155" t="inlineStr">
        <is>
          <t>JÖNKÖPINGS LÄN</t>
        </is>
      </c>
      <c r="G155" t="inlineStr">
        <is>
          <t>GISLAVED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46281</v>
      </c>
      <c r="F156" t="inlineStr">
        <is>
          <t>JÖNKÖPINGS LÄN</t>
        </is>
      </c>
      <c r="G156" t="inlineStr">
        <is>
          <t>GISLAVED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46281</v>
      </c>
      <c r="F157" t="inlineStr">
        <is>
          <t>JÖNKÖPINGS LÄN</t>
        </is>
      </c>
      <c r="G157" t="inlineStr">
        <is>
          <t>GISLAVED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46281</v>
      </c>
      <c r="F158" t="inlineStr">
        <is>
          <t>JÖNKÖPINGS LÄN</t>
        </is>
      </c>
      <c r="G158" t="inlineStr">
        <is>
          <t>GISLAVED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45497</v>
      </c>
      <c r="E159" s="1" t="n">
        <v>46281</v>
      </c>
      <c r="F159" t="inlineStr">
        <is>
          <t>JÖNKÖPINGS LÄN</t>
        </is>
      </c>
      <c r="G159" t="inlineStr">
        <is>
          <t>GISLAVED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46281</v>
      </c>
      <c r="F160" t="inlineStr">
        <is>
          <t>JÖNKÖPINGS LÄN</t>
        </is>
      </c>
      <c r="G160" t="inlineStr">
        <is>
          <t>GISLAVED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11833-2026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46085</v>
      </c>
      <c r="E161" s="1" t="n">
        <v>46281</v>
      </c>
      <c r="F161" t="inlineStr">
        <is>
          <t>JÖNKÖPINGS LÄN</t>
        </is>
      </c>
      <c r="G161" t="inlineStr">
        <is>
          <t>GISLAVED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46281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45515</v>
      </c>
      <c r="E163" s="1" t="n">
        <v>46281</v>
      </c>
      <c r="F163" t="inlineStr">
        <is>
          <t>JÖNKÖPINGS LÄN</t>
        </is>
      </c>
      <c r="G163" t="inlineStr">
        <is>
          <t>GISLAVED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46281</v>
      </c>
      <c r="F164" t="inlineStr">
        <is>
          <t>JÖNKÖPINGS LÄN</t>
        </is>
      </c>
      <c r="G164" t="inlineStr">
        <is>
          <t>GISLAVED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46086</v>
      </c>
      <c r="E165" s="1" t="n">
        <v>46281</v>
      </c>
      <c r="F165" t="inlineStr">
        <is>
          <t>JÖNKÖPINGS LÄN</t>
        </is>
      </c>
      <c r="G165" t="inlineStr">
        <is>
          <t>GISLAVED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46281</v>
      </c>
      <c r="F166" t="inlineStr">
        <is>
          <t>JÖNKÖPINGS LÄN</t>
        </is>
      </c>
      <c r="G166" t="inlineStr">
        <is>
          <t>GISLAVED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46281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44923</v>
      </c>
      <c r="E168" s="1" t="n">
        <v>46281</v>
      </c>
      <c r="F168" t="inlineStr">
        <is>
          <t>JÖNKÖPINGS LÄN</t>
        </is>
      </c>
      <c r="G168" t="inlineStr">
        <is>
          <t>GISLAVED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46281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46281</v>
      </c>
      <c r="F170" t="inlineStr">
        <is>
          <t>JÖNKÖPINGS LÄN</t>
        </is>
      </c>
      <c r="G170" t="inlineStr">
        <is>
          <t>GISLAVED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46281</v>
      </c>
      <c r="F171" t="inlineStr">
        <is>
          <t>JÖNKÖPINGS LÄN</t>
        </is>
      </c>
      <c r="G171" t="inlineStr">
        <is>
          <t>GISLAVED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46281</v>
      </c>
      <c r="F172" t="inlineStr">
        <is>
          <t>JÖNKÖPINGS LÄN</t>
        </is>
      </c>
      <c r="G172" t="inlineStr">
        <is>
          <t>GISLAVED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66544-2021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44519</v>
      </c>
      <c r="E173" s="1" t="n">
        <v>46281</v>
      </c>
      <c r="F173" t="inlineStr">
        <is>
          <t>JÖNKÖPINGS LÄN</t>
        </is>
      </c>
      <c r="G173" t="inlineStr">
        <is>
          <t>GISLAVED</t>
        </is>
      </c>
      <c r="H173" t="inlineStr">
        <is>
          <t>Kommuner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54686-2023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45235</v>
      </c>
      <c r="E174" s="1" t="n">
        <v>46281</v>
      </c>
      <c r="F174" t="inlineStr">
        <is>
          <t>JÖNKÖPINGS LÄN</t>
        </is>
      </c>
      <c r="G174" t="inlineStr">
        <is>
          <t>GISLAVED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46281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46281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67211-2021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46281</v>
      </c>
      <c r="F177" t="inlineStr">
        <is>
          <t>JÖNKÖPINGS LÄN</t>
        </is>
      </c>
      <c r="G177" t="inlineStr">
        <is>
          <t>GISLAVED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46281</v>
      </c>
      <c r="F178" t="inlineStr">
        <is>
          <t>JÖNKÖPINGS LÄN</t>
        </is>
      </c>
      <c r="G178" t="inlineStr">
        <is>
          <t>GISLAVED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45488</v>
      </c>
      <c r="E179" s="1" t="n">
        <v>46281</v>
      </c>
      <c r="F179" t="inlineStr">
        <is>
          <t>JÖNKÖPINGS LÄN</t>
        </is>
      </c>
      <c r="G179" t="inlineStr">
        <is>
          <t>GISLAVED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46281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44563</v>
      </c>
      <c r="E181" s="1" t="n">
        <v>46281</v>
      </c>
      <c r="F181" t="inlineStr">
        <is>
          <t>JÖNKÖPINGS LÄN</t>
        </is>
      </c>
      <c r="G181" t="inlineStr">
        <is>
          <t>GISLAVED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46281</v>
      </c>
      <c r="F182" t="inlineStr">
        <is>
          <t>JÖNKÖPINGS LÄN</t>
        </is>
      </c>
      <c r="G182" t="inlineStr">
        <is>
          <t>GISLAVED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46281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46098</v>
      </c>
      <c r="E184" s="1" t="n">
        <v>46281</v>
      </c>
      <c r="F184" t="inlineStr">
        <is>
          <t>JÖNKÖPINGS LÄN</t>
        </is>
      </c>
      <c r="G184" t="inlineStr">
        <is>
          <t>GISLAVED</t>
        </is>
      </c>
      <c r="H184" t="inlineStr">
        <is>
          <t>Kyrkan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46281</v>
      </c>
      <c r="F185" t="inlineStr">
        <is>
          <t>JÖNKÖPINGS LÄN</t>
        </is>
      </c>
      <c r="G185" t="inlineStr">
        <is>
          <t>GISLAVED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46281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46281</v>
      </c>
      <c r="F187" t="inlineStr">
        <is>
          <t>JÖNKÖPINGS LÄN</t>
        </is>
      </c>
      <c r="G187" t="inlineStr">
        <is>
          <t>GISLAVED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38252-2024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46281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46281</v>
      </c>
      <c r="F189" t="inlineStr">
        <is>
          <t>JÖNKÖPINGS LÄN</t>
        </is>
      </c>
      <c r="G189" t="inlineStr">
        <is>
          <t>GISLAVED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46281</v>
      </c>
      <c r="F190" t="inlineStr">
        <is>
          <t>JÖNKÖPINGS LÄN</t>
        </is>
      </c>
      <c r="G190" t="inlineStr">
        <is>
          <t>GISLAVED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58368-2021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44488</v>
      </c>
      <c r="E191" s="1" t="n">
        <v>46281</v>
      </c>
      <c r="F191" t="inlineStr">
        <is>
          <t>JÖNKÖPINGS LÄN</t>
        </is>
      </c>
      <c r="G191" t="inlineStr">
        <is>
          <t>GISLAVED</t>
        </is>
      </c>
      <c r="H191" t="inlineStr">
        <is>
          <t>Kyrkan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46281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46281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46281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42602-2025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45905</v>
      </c>
      <c r="E195" s="1" t="n">
        <v>46281</v>
      </c>
      <c r="F195" t="inlineStr">
        <is>
          <t>JÖNKÖPINGS LÄN</t>
        </is>
      </c>
      <c r="G195" t="inlineStr">
        <is>
          <t>GISLAVED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45282</v>
      </c>
      <c r="E196" s="1" t="n">
        <v>46281</v>
      </c>
      <c r="F196" t="inlineStr">
        <is>
          <t>JÖNKÖPINGS LÄN</t>
        </is>
      </c>
      <c r="G196" t="inlineStr">
        <is>
          <t>GISLAVED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65546-2021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46281</v>
      </c>
      <c r="F197" t="inlineStr">
        <is>
          <t>JÖNKÖPINGS LÄN</t>
        </is>
      </c>
      <c r="G197" t="inlineStr">
        <is>
          <t>GISLAVED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46104</v>
      </c>
      <c r="E198" s="1" t="n">
        <v>46281</v>
      </c>
      <c r="F198" t="inlineStr">
        <is>
          <t>JÖNKÖPINGS LÄN</t>
        </is>
      </c>
      <c r="G198" t="inlineStr">
        <is>
          <t>GISLAVED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46281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46281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46281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46281</v>
      </c>
      <c r="F202" t="inlineStr">
        <is>
          <t>JÖNKÖPINGS LÄN</t>
        </is>
      </c>
      <c r="G202" t="inlineStr">
        <is>
          <t>GISLAVED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46281</v>
      </c>
      <c r="F203" t="inlineStr">
        <is>
          <t>JÖNKÖPINGS LÄN</t>
        </is>
      </c>
      <c r="G203" t="inlineStr">
        <is>
          <t>GISLAVED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46281</v>
      </c>
      <c r="F204" t="inlineStr">
        <is>
          <t>JÖNKÖPINGS LÄN</t>
        </is>
      </c>
      <c r="G204" t="inlineStr">
        <is>
          <t>GISLAVED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46281</v>
      </c>
      <c r="F205" t="inlineStr">
        <is>
          <t>JÖNKÖPINGS LÄN</t>
        </is>
      </c>
      <c r="G205" t="inlineStr">
        <is>
          <t>GISLAVED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46281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46281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46281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46281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46281</v>
      </c>
      <c r="F210" t="inlineStr">
        <is>
          <t>JÖNKÖPINGS LÄN</t>
        </is>
      </c>
      <c r="G210" t="inlineStr">
        <is>
          <t>GISLAVED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46281</v>
      </c>
      <c r="F211" t="inlineStr">
        <is>
          <t>JÖNKÖPINGS LÄN</t>
        </is>
      </c>
      <c r="G211" t="inlineStr">
        <is>
          <t>GISLAVED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46107</v>
      </c>
      <c r="E212" s="1" t="n">
        <v>46281</v>
      </c>
      <c r="F212" t="inlineStr">
        <is>
          <t>JÖNKÖPINGS LÄN</t>
        </is>
      </c>
      <c r="G212" t="inlineStr">
        <is>
          <t>GISLAVED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46281</v>
      </c>
      <c r="F213" t="inlineStr">
        <is>
          <t>JÖNKÖPINGS LÄN</t>
        </is>
      </c>
      <c r="G213" t="inlineStr">
        <is>
          <t>GISLAVED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46281</v>
      </c>
      <c r="F214" t="inlineStr">
        <is>
          <t>JÖNKÖPINGS LÄN</t>
        </is>
      </c>
      <c r="G214" t="inlineStr">
        <is>
          <t>GISLAVED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46281</v>
      </c>
      <c r="F215" t="inlineStr">
        <is>
          <t>JÖNKÖPINGS LÄN</t>
        </is>
      </c>
      <c r="G215" t="inlineStr">
        <is>
          <t>GISLAVED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46281</v>
      </c>
      <c r="F216" t="inlineStr">
        <is>
          <t>JÖNKÖPINGS LÄN</t>
        </is>
      </c>
      <c r="G216" t="inlineStr">
        <is>
          <t>GISLAVED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45358</v>
      </c>
      <c r="E217" s="1" t="n">
        <v>46281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46281</v>
      </c>
      <c r="F218" t="inlineStr">
        <is>
          <t>JÖNKÖPINGS LÄN</t>
        </is>
      </c>
      <c r="G218" t="inlineStr">
        <is>
          <t>GISLAVED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32989-2024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45517</v>
      </c>
      <c r="E219" s="1" t="n">
        <v>46281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46281</v>
      </c>
      <c r="F220" t="inlineStr">
        <is>
          <t>JÖNKÖPINGS LÄN</t>
        </is>
      </c>
      <c r="G220" t="inlineStr">
        <is>
          <t>GISLAVED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46281</v>
      </c>
      <c r="F221" t="inlineStr">
        <is>
          <t>JÖNKÖPINGS LÄN</t>
        </is>
      </c>
      <c r="G221" t="inlineStr">
        <is>
          <t>GISLAVED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46281</v>
      </c>
      <c r="F222" t="inlineStr">
        <is>
          <t>JÖNKÖPINGS LÄN</t>
        </is>
      </c>
      <c r="G222" t="inlineStr">
        <is>
          <t>GISLAVED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46281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46281</v>
      </c>
      <c r="F224" t="inlineStr">
        <is>
          <t>JÖNKÖPINGS LÄN</t>
        </is>
      </c>
      <c r="G224" t="inlineStr">
        <is>
          <t>GISLAVED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44938</v>
      </c>
      <c r="E225" s="1" t="n">
        <v>46281</v>
      </c>
      <c r="F225" t="inlineStr">
        <is>
          <t>JÖNKÖPINGS LÄN</t>
        </is>
      </c>
      <c r="G225" t="inlineStr">
        <is>
          <t>GISLAVED</t>
        </is>
      </c>
      <c r="H225" t="inlineStr">
        <is>
          <t>Kyrkan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46281</v>
      </c>
      <c r="F226" t="inlineStr">
        <is>
          <t>JÖNKÖPINGS LÄN</t>
        </is>
      </c>
      <c r="G226" t="inlineStr">
        <is>
          <t>GISLAVED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46281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59181-2022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46281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46281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46281</v>
      </c>
      <c r="F230" t="inlineStr">
        <is>
          <t>JÖNKÖPINGS LÄN</t>
        </is>
      </c>
      <c r="G230" t="inlineStr">
        <is>
          <t>GISLAVED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46281</v>
      </c>
      <c r="F231" t="inlineStr">
        <is>
          <t>JÖNKÖPINGS LÄN</t>
        </is>
      </c>
      <c r="G231" t="inlineStr">
        <is>
          <t>GISLAVED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45488</v>
      </c>
      <c r="E232" s="1" t="n">
        <v>46281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44607</v>
      </c>
      <c r="E233" s="1" t="n">
        <v>46281</v>
      </c>
      <c r="F233" t="inlineStr">
        <is>
          <t>JÖNKÖPINGS LÄN</t>
        </is>
      </c>
      <c r="G233" t="inlineStr">
        <is>
          <t>GISLAVED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45011</v>
      </c>
      <c r="E234" s="1" t="n">
        <v>46281</v>
      </c>
      <c r="F234" t="inlineStr">
        <is>
          <t>JÖNKÖPINGS LÄN</t>
        </is>
      </c>
      <c r="G234" t="inlineStr">
        <is>
          <t>GISLAVED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46281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46281</v>
      </c>
      <c r="F236" t="inlineStr">
        <is>
          <t>JÖNKÖPINGS LÄN</t>
        </is>
      </c>
      <c r="G236" t="inlineStr">
        <is>
          <t>GISLAVED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46281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46281</v>
      </c>
      <c r="F238" t="inlineStr">
        <is>
          <t>JÖNKÖPINGS LÄN</t>
        </is>
      </c>
      <c r="G238" t="inlineStr">
        <is>
          <t>GISLAVED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46281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46281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46281</v>
      </c>
      <c r="F241" t="inlineStr">
        <is>
          <t>JÖNKÖPINGS LÄN</t>
        </is>
      </c>
      <c r="G241" t="inlineStr">
        <is>
          <t>GISLAVED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46281</v>
      </c>
      <c r="F242" t="inlineStr">
        <is>
          <t>JÖNKÖPINGS LÄN</t>
        </is>
      </c>
      <c r="G242" t="inlineStr">
        <is>
          <t>GISLAVED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46281</v>
      </c>
      <c r="F243" t="inlineStr">
        <is>
          <t>JÖNKÖPINGS LÄN</t>
        </is>
      </c>
      <c r="G243" t="inlineStr">
        <is>
          <t>GISLAVED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46281</v>
      </c>
      <c r="F244" t="inlineStr">
        <is>
          <t>JÖNKÖPINGS LÄN</t>
        </is>
      </c>
      <c r="G244" t="inlineStr">
        <is>
          <t>GISLAVED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46281</v>
      </c>
      <c r="F245" t="inlineStr">
        <is>
          <t>JÖNKÖPINGS LÄN</t>
        </is>
      </c>
      <c r="G245" t="inlineStr">
        <is>
          <t>GISLAVED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46281</v>
      </c>
      <c r="F246" t="inlineStr">
        <is>
          <t>JÖNKÖPINGS LÄN</t>
        </is>
      </c>
      <c r="G246" t="inlineStr">
        <is>
          <t>GISLAVED</t>
        </is>
      </c>
      <c r="H246" t="inlineStr">
        <is>
          <t>Sveaskog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46281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46281</v>
      </c>
      <c r="F248" t="inlineStr">
        <is>
          <t>JÖNKÖPINGS LÄN</t>
        </is>
      </c>
      <c r="G248" t="inlineStr">
        <is>
          <t>GISLAVED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46281</v>
      </c>
      <c r="F249" t="inlineStr">
        <is>
          <t>JÖNKÖPINGS LÄN</t>
        </is>
      </c>
      <c r="G249" t="inlineStr">
        <is>
          <t>GISLAVED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46281</v>
      </c>
      <c r="F250" t="inlineStr">
        <is>
          <t>JÖNKÖPINGS LÄN</t>
        </is>
      </c>
      <c r="G250" t="inlineStr">
        <is>
          <t>GISLAVED</t>
        </is>
      </c>
      <c r="H250" t="inlineStr">
        <is>
          <t>Sveaskog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46281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46281</v>
      </c>
      <c r="F252" t="inlineStr">
        <is>
          <t>JÖNKÖPINGS LÄN</t>
        </is>
      </c>
      <c r="G252" t="inlineStr">
        <is>
          <t>GISLAVED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46281</v>
      </c>
      <c r="F253" t="inlineStr">
        <is>
          <t>JÖNKÖPINGS LÄN</t>
        </is>
      </c>
      <c r="G253" t="inlineStr">
        <is>
          <t>GISLAVED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46281</v>
      </c>
      <c r="F254" t="inlineStr">
        <is>
          <t>JÖNKÖPINGS LÄN</t>
        </is>
      </c>
      <c r="G254" t="inlineStr">
        <is>
          <t>GISLAVED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46281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46281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45818</v>
      </c>
      <c r="E257" s="1" t="n">
        <v>46281</v>
      </c>
      <c r="F257" t="inlineStr">
        <is>
          <t>JÖNKÖPINGS LÄN</t>
        </is>
      </c>
      <c r="G257" t="inlineStr">
        <is>
          <t>GISLAVED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44578</v>
      </c>
      <c r="E258" s="1" t="n">
        <v>46281</v>
      </c>
      <c r="F258" t="inlineStr">
        <is>
          <t>JÖNKÖPINGS LÄN</t>
        </is>
      </c>
      <c r="G258" t="inlineStr">
        <is>
          <t>GISLAVED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46281</v>
      </c>
      <c r="F259" t="inlineStr">
        <is>
          <t>JÖNKÖPINGS LÄN</t>
        </is>
      </c>
      <c r="G259" t="inlineStr">
        <is>
          <t>GISLAVED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46281</v>
      </c>
      <c r="F260" t="inlineStr">
        <is>
          <t>JÖNKÖPINGS LÄN</t>
        </is>
      </c>
      <c r="G260" t="inlineStr">
        <is>
          <t>GISLAVED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46281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46281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46281</v>
      </c>
      <c r="F263" t="inlineStr">
        <is>
          <t>JÖNKÖPINGS LÄN</t>
        </is>
      </c>
      <c r="G263" t="inlineStr">
        <is>
          <t>GISLAVED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45498</v>
      </c>
      <c r="E264" s="1" t="n">
        <v>46281</v>
      </c>
      <c r="F264" t="inlineStr">
        <is>
          <t>JÖNKÖPINGS LÄN</t>
        </is>
      </c>
      <c r="G264" t="inlineStr">
        <is>
          <t>GISLAVED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45447</v>
      </c>
      <c r="E265" s="1" t="n">
        <v>46281</v>
      </c>
      <c r="F265" t="inlineStr">
        <is>
          <t>JÖNKÖPINGS LÄN</t>
        </is>
      </c>
      <c r="G265" t="inlineStr">
        <is>
          <t>GISLAVED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44926</v>
      </c>
      <c r="E266" s="1" t="n">
        <v>46281</v>
      </c>
      <c r="F266" t="inlineStr">
        <is>
          <t>JÖNKÖPINGS LÄN</t>
        </is>
      </c>
      <c r="G266" t="inlineStr">
        <is>
          <t>GISLAVED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46281</v>
      </c>
      <c r="F267" t="inlineStr">
        <is>
          <t>JÖNKÖPINGS LÄN</t>
        </is>
      </c>
      <c r="G267" t="inlineStr">
        <is>
          <t>GISLAVED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44748</v>
      </c>
      <c r="E268" s="1" t="n">
        <v>46281</v>
      </c>
      <c r="F268" t="inlineStr">
        <is>
          <t>JÖNKÖPINGS LÄN</t>
        </is>
      </c>
      <c r="G268" t="inlineStr">
        <is>
          <t>GISLAVED</t>
        </is>
      </c>
      <c r="I268" t="n">
        <v>14.1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44986</v>
      </c>
      <c r="E269" s="1" t="n">
        <v>46281</v>
      </c>
      <c r="F269" t="inlineStr">
        <is>
          <t>JÖNKÖPINGS LÄN</t>
        </is>
      </c>
      <c r="G269" t="inlineStr">
        <is>
          <t>GISLAVED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46281</v>
      </c>
      <c r="F270" t="inlineStr">
        <is>
          <t>JÖNKÖPINGS LÄN</t>
        </is>
      </c>
      <c r="G270" t="inlineStr">
        <is>
          <t>GISLAVED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45320</v>
      </c>
      <c r="E271" s="1" t="n">
        <v>46281</v>
      </c>
      <c r="F271" t="inlineStr">
        <is>
          <t>JÖNKÖPINGS LÄN</t>
        </is>
      </c>
      <c r="G271" t="inlineStr">
        <is>
          <t>GISLAVED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46281</v>
      </c>
      <c r="F272" t="inlineStr">
        <is>
          <t>JÖNKÖPINGS LÄN</t>
        </is>
      </c>
      <c r="G272" t="inlineStr">
        <is>
          <t>GISLAVED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45599</v>
      </c>
      <c r="E273" s="1" t="n">
        <v>46281</v>
      </c>
      <c r="F273" t="inlineStr">
        <is>
          <t>JÖNKÖPINGS LÄN</t>
        </is>
      </c>
      <c r="G273" t="inlineStr">
        <is>
          <t>GISLAVED</t>
        </is>
      </c>
      <c r="I273" t="n">
        <v>13.7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46281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64812-2023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46281</v>
      </c>
      <c r="F275" t="inlineStr">
        <is>
          <t>JÖNKÖPINGS LÄN</t>
        </is>
      </c>
      <c r="G275" t="inlineStr">
        <is>
          <t>GISLAVED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46281</v>
      </c>
      <c r="F276" t="inlineStr">
        <is>
          <t>JÖNKÖPINGS LÄN</t>
        </is>
      </c>
      <c r="G276" t="inlineStr">
        <is>
          <t>GISLAVED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44749</v>
      </c>
      <c r="E277" s="1" t="n">
        <v>46281</v>
      </c>
      <c r="F277" t="inlineStr">
        <is>
          <t>JÖNKÖPINGS LÄN</t>
        </is>
      </c>
      <c r="G277" t="inlineStr">
        <is>
          <t>GISLAVED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60077-2023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46281</v>
      </c>
      <c r="F278" t="inlineStr">
        <is>
          <t>JÖNKÖPINGS LÄN</t>
        </is>
      </c>
      <c r="G278" t="inlineStr">
        <is>
          <t>GISLAVED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46281</v>
      </c>
      <c r="F279" t="inlineStr">
        <is>
          <t>JÖNKÖPINGS LÄN</t>
        </is>
      </c>
      <c r="G279" t="inlineStr">
        <is>
          <t>GISLAVED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58531-2021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46281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46281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45594</v>
      </c>
      <c r="E282" s="1" t="n">
        <v>46281</v>
      </c>
      <c r="F282" t="inlineStr">
        <is>
          <t>JÖNKÖPINGS LÄN</t>
        </is>
      </c>
      <c r="G282" t="inlineStr">
        <is>
          <t>GISLAVED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45958</v>
      </c>
      <c r="E283" s="1" t="n">
        <v>46281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44662</v>
      </c>
      <c r="E284" s="1" t="n">
        <v>46281</v>
      </c>
      <c r="F284" t="inlineStr">
        <is>
          <t>JÖNKÖPINGS LÄN</t>
        </is>
      </c>
      <c r="G284" t="inlineStr">
        <is>
          <t>GISLAVED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45425</v>
      </c>
      <c r="E285" s="1" t="n">
        <v>46281</v>
      </c>
      <c r="F285" t="inlineStr">
        <is>
          <t>JÖNKÖPINGS LÄN</t>
        </is>
      </c>
      <c r="G285" t="inlineStr">
        <is>
          <t>GISLAVED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46281</v>
      </c>
      <c r="F286" t="inlineStr">
        <is>
          <t>JÖNKÖPINGS LÄN</t>
        </is>
      </c>
      <c r="G286" t="inlineStr">
        <is>
          <t>GISLAVED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46281</v>
      </c>
      <c r="F287" t="inlineStr">
        <is>
          <t>JÖNKÖPINGS LÄN</t>
        </is>
      </c>
      <c r="G287" t="inlineStr">
        <is>
          <t>GISLAVED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46281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46281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46281</v>
      </c>
      <c r="F290" t="inlineStr">
        <is>
          <t>JÖNKÖPINGS LÄN</t>
        </is>
      </c>
      <c r="G290" t="inlineStr">
        <is>
          <t>GISLAVED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46281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45355</v>
      </c>
      <c r="E292" s="1" t="n">
        <v>46281</v>
      </c>
      <c r="F292" t="inlineStr">
        <is>
          <t>JÖNKÖPINGS LÄN</t>
        </is>
      </c>
      <c r="G292" t="inlineStr">
        <is>
          <t>GISLAVED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46281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45961</v>
      </c>
      <c r="E294" s="1" t="n">
        <v>46281</v>
      </c>
      <c r="F294" t="inlineStr">
        <is>
          <t>JÖNKÖPINGS LÄN</t>
        </is>
      </c>
      <c r="G294" t="inlineStr">
        <is>
          <t>GISLAVED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46281</v>
      </c>
      <c r="F295" t="inlineStr">
        <is>
          <t>JÖNKÖPINGS LÄN</t>
        </is>
      </c>
      <c r="G295" t="inlineStr">
        <is>
          <t>GISLAVED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54046-2025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45963</v>
      </c>
      <c r="E296" s="1" t="n">
        <v>46281</v>
      </c>
      <c r="F296" t="inlineStr">
        <is>
          <t>JÖNKÖPINGS LÄN</t>
        </is>
      </c>
      <c r="G296" t="inlineStr">
        <is>
          <t>GISLAVED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45348</v>
      </c>
      <c r="E297" s="1" t="n">
        <v>46281</v>
      </c>
      <c r="F297" t="inlineStr">
        <is>
          <t>JÖNKÖPINGS LÄN</t>
        </is>
      </c>
      <c r="G297" t="inlineStr">
        <is>
          <t>GISLAVED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54147-2025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46281</v>
      </c>
      <c r="F298" t="inlineStr">
        <is>
          <t>JÖNKÖPINGS LÄN</t>
        </is>
      </c>
      <c r="G298" t="inlineStr">
        <is>
          <t>GISLAVED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46281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45117</v>
      </c>
      <c r="E300" s="1" t="n">
        <v>46281</v>
      </c>
      <c r="F300" t="inlineStr">
        <is>
          <t>JÖNKÖPINGS LÄN</t>
        </is>
      </c>
      <c r="G300" t="inlineStr">
        <is>
          <t>GISLAVED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46281</v>
      </c>
      <c r="F301" t="inlineStr">
        <is>
          <t>JÖNKÖPINGS LÄN</t>
        </is>
      </c>
      <c r="G301" t="inlineStr">
        <is>
          <t>GISLAVED</t>
        </is>
      </c>
      <c r="H301" t="inlineStr">
        <is>
          <t>Kommuner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45345</v>
      </c>
      <c r="E302" s="1" t="n">
        <v>46281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50324-2021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44456</v>
      </c>
      <c r="E303" s="1" t="n">
        <v>46281</v>
      </c>
      <c r="F303" t="inlineStr">
        <is>
          <t>JÖNKÖPINGS LÄN</t>
        </is>
      </c>
      <c r="G303" t="inlineStr">
        <is>
          <t>GISLAVED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46281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46281</v>
      </c>
      <c r="F305" t="inlineStr">
        <is>
          <t>JÖNKÖPINGS LÄN</t>
        </is>
      </c>
      <c r="G305" t="inlineStr">
        <is>
          <t>GISLAVED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46281</v>
      </c>
      <c r="F306" t="inlineStr">
        <is>
          <t>JÖNKÖPINGS LÄN</t>
        </is>
      </c>
      <c r="G306" t="inlineStr">
        <is>
          <t>GISLAVED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54858-2025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46281</v>
      </c>
      <c r="F307" t="inlineStr">
        <is>
          <t>JÖNKÖPINGS LÄN</t>
        </is>
      </c>
      <c r="G307" t="inlineStr">
        <is>
          <t>GISLAVED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46281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46281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45968</v>
      </c>
      <c r="E310" s="1" t="n">
        <v>46281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45968</v>
      </c>
      <c r="E311" s="1" t="n">
        <v>46281</v>
      </c>
      <c r="F311" t="inlineStr">
        <is>
          <t>JÖNKÖPINGS LÄN</t>
        </is>
      </c>
      <c r="G311" t="inlineStr">
        <is>
          <t>GISLAVED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46281</v>
      </c>
      <c r="F312" t="inlineStr">
        <is>
          <t>JÖNKÖPINGS LÄN</t>
        </is>
      </c>
      <c r="G312" t="inlineStr">
        <is>
          <t>GISLAVED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46281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47215-2025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46281</v>
      </c>
      <c r="F314" t="inlineStr">
        <is>
          <t>JÖNKÖPINGS LÄN</t>
        </is>
      </c>
      <c r="G314" t="inlineStr">
        <is>
          <t>GISLAVED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49590-2021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44455</v>
      </c>
      <c r="E315" s="1" t="n">
        <v>46281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46281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46281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46281</v>
      </c>
      <c r="F318" t="inlineStr">
        <is>
          <t>JÖNKÖPINGS LÄN</t>
        </is>
      </c>
      <c r="G318" t="inlineStr">
        <is>
          <t>GISLAVED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46281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47840-2024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46281</v>
      </c>
      <c r="F320" t="inlineStr">
        <is>
          <t>JÖNKÖPINGS LÄN</t>
        </is>
      </c>
      <c r="G320" t="inlineStr">
        <is>
          <t>GISLAVED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46281</v>
      </c>
      <c r="F321" t="inlineStr">
        <is>
          <t>JÖNKÖPINGS LÄN</t>
        </is>
      </c>
      <c r="G321" t="inlineStr">
        <is>
          <t>GISLAVED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46281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46281</v>
      </c>
      <c r="F323" t="inlineStr">
        <is>
          <t>JÖNKÖPINGS LÄN</t>
        </is>
      </c>
      <c r="G323" t="inlineStr">
        <is>
          <t>GISLAVED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46281</v>
      </c>
      <c r="F324" t="inlineStr">
        <is>
          <t>JÖNKÖPINGS LÄN</t>
        </is>
      </c>
      <c r="G324" t="inlineStr">
        <is>
          <t>GISLAVED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46281</v>
      </c>
      <c r="F325" t="inlineStr">
        <is>
          <t>JÖNKÖPINGS LÄN</t>
        </is>
      </c>
      <c r="G325" t="inlineStr">
        <is>
          <t>GISLAVED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46281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46281</v>
      </c>
      <c r="F327" t="inlineStr">
        <is>
          <t>JÖNKÖPINGS LÄN</t>
        </is>
      </c>
      <c r="G327" t="inlineStr">
        <is>
          <t>GISLAVED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47309-2022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44853</v>
      </c>
      <c r="E328" s="1" t="n">
        <v>46281</v>
      </c>
      <c r="F328" t="inlineStr">
        <is>
          <t>JÖNKÖPINGS LÄN</t>
        </is>
      </c>
      <c r="G328" t="inlineStr">
        <is>
          <t>GISLAVED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61044-2021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44497</v>
      </c>
      <c r="E329" s="1" t="n">
        <v>46281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45026</v>
      </c>
      <c r="E330" s="1" t="n">
        <v>46281</v>
      </c>
      <c r="F330" t="inlineStr">
        <is>
          <t>JÖNKÖPINGS LÄN</t>
        </is>
      </c>
      <c r="G330" t="inlineStr">
        <is>
          <t>GISLAVED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46281</v>
      </c>
      <c r="F331" t="inlineStr">
        <is>
          <t>JÖNKÖPINGS LÄN</t>
        </is>
      </c>
      <c r="G331" t="inlineStr">
        <is>
          <t>GISLAVED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46281</v>
      </c>
      <c r="F332" t="inlineStr">
        <is>
          <t>JÖNKÖPINGS LÄN</t>
        </is>
      </c>
      <c r="G332" t="inlineStr">
        <is>
          <t>GISLAVED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46281</v>
      </c>
      <c r="F333" t="inlineStr">
        <is>
          <t>JÖNKÖPINGS LÄN</t>
        </is>
      </c>
      <c r="G333" t="inlineStr">
        <is>
          <t>GISLAVED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45706</v>
      </c>
      <c r="E334" s="1" t="n">
        <v>46281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46281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46281</v>
      </c>
      <c r="F336" t="inlineStr">
        <is>
          <t>JÖNKÖPINGS LÄN</t>
        </is>
      </c>
      <c r="G336" t="inlineStr">
        <is>
          <t>GISLAVED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45783</v>
      </c>
      <c r="E337" s="1" t="n">
        <v>46281</v>
      </c>
      <c r="F337" t="inlineStr">
        <is>
          <t>JÖNKÖPINGS LÄN</t>
        </is>
      </c>
      <c r="G337" t="inlineStr">
        <is>
          <t>GISLAVED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46281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46281</v>
      </c>
      <c r="F339" t="inlineStr">
        <is>
          <t>JÖNKÖPINGS LÄN</t>
        </is>
      </c>
      <c r="G339" t="inlineStr">
        <is>
          <t>GISLAVED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46281</v>
      </c>
      <c r="F340" t="inlineStr">
        <is>
          <t>JÖNKÖPINGS LÄN</t>
        </is>
      </c>
      <c r="G340" t="inlineStr">
        <is>
          <t>GISLAVED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45852</v>
      </c>
      <c r="E341" s="1" t="n">
        <v>46281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46281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61177-2021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44498</v>
      </c>
      <c r="E343" s="1" t="n">
        <v>46281</v>
      </c>
      <c r="F343" t="inlineStr">
        <is>
          <t>JÖNKÖPINGS LÄN</t>
        </is>
      </c>
      <c r="G343" t="inlineStr">
        <is>
          <t>GISLAVED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46281</v>
      </c>
      <c r="F344" t="inlineStr">
        <is>
          <t>JÖNKÖPINGS LÄN</t>
        </is>
      </c>
      <c r="G344" t="inlineStr">
        <is>
          <t>GISLAVED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46281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44803</v>
      </c>
      <c r="E346" s="1" t="n">
        <v>46281</v>
      </c>
      <c r="F346" t="inlineStr">
        <is>
          <t>JÖNKÖPINGS LÄN</t>
        </is>
      </c>
      <c r="G346" t="inlineStr">
        <is>
          <t>GISLAVED</t>
        </is>
      </c>
      <c r="H346" t="inlineStr">
        <is>
          <t>Kyrkan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46281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46281</v>
      </c>
      <c r="F348" t="inlineStr">
        <is>
          <t>JÖNKÖPINGS LÄN</t>
        </is>
      </c>
      <c r="G348" t="inlineStr">
        <is>
          <t>GISLAVED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46281</v>
      </c>
      <c r="F349" t="inlineStr">
        <is>
          <t>JÖNKÖPINGS LÄN</t>
        </is>
      </c>
      <c r="G349" t="inlineStr">
        <is>
          <t>GISLAVED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45084</v>
      </c>
      <c r="E350" s="1" t="n">
        <v>46281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45000</v>
      </c>
      <c r="E351" s="1" t="n">
        <v>46281</v>
      </c>
      <c r="F351" t="inlineStr">
        <is>
          <t>JÖNKÖPINGS LÄN</t>
        </is>
      </c>
      <c r="G351" t="inlineStr">
        <is>
          <t>GISLAVED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45027</v>
      </c>
      <c r="E352" s="1" t="n">
        <v>46281</v>
      </c>
      <c r="F352" t="inlineStr">
        <is>
          <t>JÖNKÖPINGS LÄN</t>
        </is>
      </c>
      <c r="G352" t="inlineStr">
        <is>
          <t>GISLAVED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61351-2022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44915</v>
      </c>
      <c r="E353" s="1" t="n">
        <v>46281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46281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61891-2021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44502</v>
      </c>
      <c r="E355" s="1" t="n">
        <v>46281</v>
      </c>
      <c r="F355" t="inlineStr">
        <is>
          <t>JÖNKÖPINGS LÄN</t>
        </is>
      </c>
      <c r="G355" t="inlineStr">
        <is>
          <t>GISLAVED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44977</v>
      </c>
      <c r="E356" s="1" t="n">
        <v>46281</v>
      </c>
      <c r="F356" t="inlineStr">
        <is>
          <t>JÖNKÖPINGS LÄN</t>
        </is>
      </c>
      <c r="G356" t="inlineStr">
        <is>
          <t>GISLAVED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46281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46281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46281</v>
      </c>
      <c r="F359" t="inlineStr">
        <is>
          <t>JÖNKÖPINGS LÄN</t>
        </is>
      </c>
      <c r="G359" t="inlineStr">
        <is>
          <t>GISLAVED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60287-2024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45642</v>
      </c>
      <c r="E360" s="1" t="n">
        <v>46281</v>
      </c>
      <c r="F360" t="inlineStr">
        <is>
          <t>JÖNKÖPINGS LÄN</t>
        </is>
      </c>
      <c r="G360" t="inlineStr">
        <is>
          <t>GISLAVED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46281</v>
      </c>
      <c r="F361" t="inlineStr">
        <is>
          <t>JÖNKÖPINGS LÄN</t>
        </is>
      </c>
      <c r="G361" t="inlineStr">
        <is>
          <t>GISLAVED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27249-2023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46281</v>
      </c>
      <c r="F362" t="inlineStr">
        <is>
          <t>JÖNKÖPINGS LÄN</t>
        </is>
      </c>
      <c r="G362" t="inlineStr">
        <is>
          <t>GISLAVED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53647-2024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45615</v>
      </c>
      <c r="E363" s="1" t="n">
        <v>46281</v>
      </c>
      <c r="F363" t="inlineStr">
        <is>
          <t>JÖNKÖPINGS LÄN</t>
        </is>
      </c>
      <c r="G363" t="inlineStr">
        <is>
          <t>GISLAVED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45712</v>
      </c>
      <c r="E364" s="1" t="n">
        <v>46281</v>
      </c>
      <c r="F364" t="inlineStr">
        <is>
          <t>JÖNKÖPINGS LÄN</t>
        </is>
      </c>
      <c r="G364" t="inlineStr">
        <is>
          <t>GISLAVED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46281</v>
      </c>
      <c r="F365" t="inlineStr">
        <is>
          <t>JÖNKÖPINGS LÄN</t>
        </is>
      </c>
      <c r="G365" t="inlineStr">
        <is>
          <t>GISLAVED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46281</v>
      </c>
      <c r="F366" t="inlineStr">
        <is>
          <t>JÖNKÖPINGS LÄN</t>
        </is>
      </c>
      <c r="G366" t="inlineStr">
        <is>
          <t>GISLAVED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46281</v>
      </c>
      <c r="F367" t="inlineStr">
        <is>
          <t>JÖNKÖPINGS LÄN</t>
        </is>
      </c>
      <c r="G367" t="inlineStr">
        <is>
          <t>GISLAVED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45163</v>
      </c>
      <c r="E368" s="1" t="n">
        <v>46281</v>
      </c>
      <c r="F368" t="inlineStr">
        <is>
          <t>JÖNKÖPINGS LÄN</t>
        </is>
      </c>
      <c r="G368" t="inlineStr">
        <is>
          <t>GISLAVED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46281</v>
      </c>
      <c r="F369" t="inlineStr">
        <is>
          <t>JÖNKÖPINGS LÄN</t>
        </is>
      </c>
      <c r="G369" t="inlineStr">
        <is>
          <t>GISLAVED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45882</v>
      </c>
      <c r="E370" s="1" t="n">
        <v>46281</v>
      </c>
      <c r="F370" t="inlineStr">
        <is>
          <t>JÖNKÖPINGS LÄN</t>
        </is>
      </c>
      <c r="G370" t="inlineStr">
        <is>
          <t>GISLAVED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46281</v>
      </c>
      <c r="F371" t="inlineStr">
        <is>
          <t>JÖNKÖPINGS LÄN</t>
        </is>
      </c>
      <c r="G371" t="inlineStr">
        <is>
          <t>GISLAVED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45213-2023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46281</v>
      </c>
      <c r="F372" t="inlineStr">
        <is>
          <t>JÖNKÖPINGS LÄN</t>
        </is>
      </c>
      <c r="G372" t="inlineStr">
        <is>
          <t>GISLAVED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46281</v>
      </c>
      <c r="F373" t="inlineStr">
        <is>
          <t>JÖNKÖPINGS LÄN</t>
        </is>
      </c>
      <c r="G373" t="inlineStr">
        <is>
          <t>GISLAVED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44729</v>
      </c>
      <c r="E374" s="1" t="n">
        <v>46281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46281</v>
      </c>
      <c r="F375" t="inlineStr">
        <is>
          <t>JÖNKÖPINGS LÄN</t>
        </is>
      </c>
      <c r="G375" t="inlineStr">
        <is>
          <t>GISLAVED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45159</v>
      </c>
      <c r="E376" s="1" t="n">
        <v>46281</v>
      </c>
      <c r="F376" t="inlineStr">
        <is>
          <t>JÖNKÖPINGS LÄN</t>
        </is>
      </c>
      <c r="G376" t="inlineStr">
        <is>
          <t>GISLAVED</t>
        </is>
      </c>
      <c r="H376" t="inlineStr">
        <is>
          <t>Sveaskog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48399-2024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45590</v>
      </c>
      <c r="E377" s="1" t="n">
        <v>46281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45350</v>
      </c>
      <c r="E378" s="1" t="n">
        <v>46281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59989-2025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46281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61215-2024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46281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32108-2024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45511</v>
      </c>
      <c r="E381" s="1" t="n">
        <v>46281</v>
      </c>
      <c r="F381" t="inlineStr">
        <is>
          <t>JÖNKÖPINGS LÄN</t>
        </is>
      </c>
      <c r="G381" t="inlineStr">
        <is>
          <t>GISLAVED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46281</v>
      </c>
      <c r="F382" t="inlineStr">
        <is>
          <t>JÖNKÖPINGS LÄN</t>
        </is>
      </c>
      <c r="G382" t="inlineStr">
        <is>
          <t>GISLAVED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46281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46281</v>
      </c>
      <c r="F384" t="inlineStr">
        <is>
          <t>JÖNKÖPINGS LÄN</t>
        </is>
      </c>
      <c r="G384" t="inlineStr">
        <is>
          <t>GISLAVED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46281</v>
      </c>
      <c r="F385" t="inlineStr">
        <is>
          <t>JÖNKÖPINGS LÄN</t>
        </is>
      </c>
      <c r="G385" t="inlineStr">
        <is>
          <t>GISLAVED</t>
        </is>
      </c>
      <c r="H385" t="inlineStr">
        <is>
          <t>Sveaskog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13981-2023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45008</v>
      </c>
      <c r="E386" s="1" t="n">
        <v>46281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45680</v>
      </c>
      <c r="E387" s="1" t="n">
        <v>46281</v>
      </c>
      <c r="F387" t="inlineStr">
        <is>
          <t>JÖNKÖPINGS LÄN</t>
        </is>
      </c>
      <c r="G387" t="inlineStr">
        <is>
          <t>GISLAVED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38213-2024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45545</v>
      </c>
      <c r="E388" s="1" t="n">
        <v>46281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46281</v>
      </c>
      <c r="F389" t="inlineStr">
        <is>
          <t>JÖNKÖPINGS LÄN</t>
        </is>
      </c>
      <c r="G389" t="inlineStr">
        <is>
          <t>GISLAVED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45475</v>
      </c>
      <c r="E390" s="1" t="n">
        <v>46281</v>
      </c>
      <c r="F390" t="inlineStr">
        <is>
          <t>JÖNKÖPINGS LÄN</t>
        </is>
      </c>
      <c r="G390" t="inlineStr">
        <is>
          <t>GISLAVED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46281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44926</v>
      </c>
      <c r="E392" s="1" t="n">
        <v>46281</v>
      </c>
      <c r="F392" t="inlineStr">
        <is>
          <t>JÖNKÖPINGS LÄN</t>
        </is>
      </c>
      <c r="G392" t="inlineStr">
        <is>
          <t>GISLAVED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45637</v>
      </c>
      <c r="E393" s="1" t="n">
        <v>46281</v>
      </c>
      <c r="F393" t="inlineStr">
        <is>
          <t>JÖNKÖPINGS LÄN</t>
        </is>
      </c>
      <c r="G393" t="inlineStr">
        <is>
          <t>GISLAVED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46281</v>
      </c>
      <c r="F394" t="inlineStr">
        <is>
          <t>JÖNKÖPINGS LÄN</t>
        </is>
      </c>
      <c r="G394" t="inlineStr">
        <is>
          <t>GISLAVED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30193-2022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44757</v>
      </c>
      <c r="E395" s="1" t="n">
        <v>46281</v>
      </c>
      <c r="F395" t="inlineStr">
        <is>
          <t>JÖNKÖPINGS LÄN</t>
        </is>
      </c>
      <c r="G395" t="inlineStr">
        <is>
          <t>GISLAVED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46281</v>
      </c>
      <c r="F396" t="inlineStr">
        <is>
          <t>JÖNKÖPINGS LÄN</t>
        </is>
      </c>
      <c r="G396" t="inlineStr">
        <is>
          <t>GISLAVED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62671-2025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46281</v>
      </c>
      <c r="F397" t="inlineStr">
        <is>
          <t>JÖNKÖPINGS LÄN</t>
        </is>
      </c>
      <c r="G397" t="inlineStr">
        <is>
          <t>GISLAVED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45817</v>
      </c>
      <c r="E398" s="1" t="n">
        <v>46281</v>
      </c>
      <c r="F398" t="inlineStr">
        <is>
          <t>JÖNKÖPINGS LÄN</t>
        </is>
      </c>
      <c r="G398" t="inlineStr">
        <is>
          <t>GISLAVED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39335-2022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44817</v>
      </c>
      <c r="E399" s="1" t="n">
        <v>46281</v>
      </c>
      <c r="F399" t="inlineStr">
        <is>
          <t>JÖNKÖPINGS LÄN</t>
        </is>
      </c>
      <c r="G399" t="inlineStr">
        <is>
          <t>GISLAVED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46156</v>
      </c>
      <c r="E400" s="1" t="n">
        <v>46281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46156</v>
      </c>
      <c r="E401" s="1" t="n">
        <v>46281</v>
      </c>
      <c r="F401" t="inlineStr">
        <is>
          <t>JÖNKÖPINGS LÄN</t>
        </is>
      </c>
      <c r="G401" t="inlineStr">
        <is>
          <t>GISLAVED</t>
        </is>
      </c>
      <c r="H401" t="inlineStr">
        <is>
          <t>Sveaskog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45730</v>
      </c>
      <c r="E402" s="1" t="n">
        <v>46281</v>
      </c>
      <c r="F402" t="inlineStr">
        <is>
          <t>JÖNKÖPINGS LÄN</t>
        </is>
      </c>
      <c r="G402" t="inlineStr">
        <is>
          <t>GISLAVED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22111-2022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44711</v>
      </c>
      <c r="E403" s="1" t="n">
        <v>46281</v>
      </c>
      <c r="F403" t="inlineStr">
        <is>
          <t>JÖNKÖPINGS LÄN</t>
        </is>
      </c>
      <c r="G403" t="inlineStr">
        <is>
          <t>GISLAVED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45678</v>
      </c>
      <c r="E404" s="1" t="n">
        <v>46281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46281</v>
      </c>
      <c r="F405" t="inlineStr">
        <is>
          <t>JÖNKÖPINGS LÄN</t>
        </is>
      </c>
      <c r="G405" t="inlineStr">
        <is>
          <t>GISLAVED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46281</v>
      </c>
      <c r="F406" t="inlineStr">
        <is>
          <t>JÖNKÖPINGS LÄN</t>
        </is>
      </c>
      <c r="G406" t="inlineStr">
        <is>
          <t>GISLAVED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45716</v>
      </c>
      <c r="E407" s="1" t="n">
        <v>46281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46281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46156</v>
      </c>
      <c r="E409" s="1" t="n">
        <v>46281</v>
      </c>
      <c r="F409" t="inlineStr">
        <is>
          <t>JÖNKÖPINGS LÄN</t>
        </is>
      </c>
      <c r="G409" t="inlineStr">
        <is>
          <t>GISLAVED</t>
        </is>
      </c>
      <c r="H409" t="inlineStr">
        <is>
          <t>Sveaskog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46281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46281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46281</v>
      </c>
      <c r="F412" t="inlineStr">
        <is>
          <t>JÖNKÖPINGS LÄN</t>
        </is>
      </c>
      <c r="G412" t="inlineStr">
        <is>
          <t>GISLAVED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45595</v>
      </c>
      <c r="E413" s="1" t="n">
        <v>46281</v>
      </c>
      <c r="F413" t="inlineStr">
        <is>
          <t>JÖNKÖPINGS LÄN</t>
        </is>
      </c>
      <c r="G413" t="inlineStr">
        <is>
          <t>GISLAVED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46281</v>
      </c>
      <c r="F414" t="inlineStr">
        <is>
          <t>JÖNKÖPINGS LÄN</t>
        </is>
      </c>
      <c r="G414" t="inlineStr">
        <is>
          <t>GISLAVED</t>
        </is>
      </c>
      <c r="H414" t="inlineStr">
        <is>
          <t>Sveaskog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46281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63047-2025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46281</v>
      </c>
      <c r="F416" t="inlineStr">
        <is>
          <t>JÖNKÖPINGS LÄN</t>
        </is>
      </c>
      <c r="G416" t="inlineStr">
        <is>
          <t>GISLAVED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46281</v>
      </c>
      <c r="F417" t="inlineStr">
        <is>
          <t>JÖNKÖPINGS LÄN</t>
        </is>
      </c>
      <c r="G417" t="inlineStr">
        <is>
          <t>GISLAVED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46281</v>
      </c>
      <c r="F418" t="inlineStr">
        <is>
          <t>JÖNKÖPINGS LÄN</t>
        </is>
      </c>
      <c r="G418" t="inlineStr">
        <is>
          <t>GISLAVED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56890-2022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46281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45358</v>
      </c>
      <c r="E420" s="1" t="n">
        <v>46281</v>
      </c>
      <c r="F420" t="inlineStr">
        <is>
          <t>JÖNKÖPINGS LÄN</t>
        </is>
      </c>
      <c r="G420" t="inlineStr">
        <is>
          <t>GISLAVED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46156</v>
      </c>
      <c r="E421" s="1" t="n">
        <v>46281</v>
      </c>
      <c r="F421" t="inlineStr">
        <is>
          <t>JÖNKÖPINGS LÄN</t>
        </is>
      </c>
      <c r="G421" t="inlineStr">
        <is>
          <t>GISLAVED</t>
        </is>
      </c>
      <c r="H421" t="inlineStr">
        <is>
          <t>Sveaskog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46281</v>
      </c>
      <c r="F422" t="inlineStr">
        <is>
          <t>JÖNKÖPINGS LÄN</t>
        </is>
      </c>
      <c r="G422" t="inlineStr">
        <is>
          <t>GISLAVED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45273</v>
      </c>
      <c r="E423" s="1" t="n">
        <v>46281</v>
      </c>
      <c r="F423" t="inlineStr">
        <is>
          <t>JÖNKÖPINGS LÄN</t>
        </is>
      </c>
      <c r="G423" t="inlineStr">
        <is>
          <t>GISLAVED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46281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46281</v>
      </c>
      <c r="F425" t="inlineStr">
        <is>
          <t>JÖNKÖPINGS LÄN</t>
        </is>
      </c>
      <c r="G425" t="inlineStr">
        <is>
          <t>GISLAVED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45462</v>
      </c>
      <c r="E426" s="1" t="n">
        <v>46281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31776-2024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45509</v>
      </c>
      <c r="E427" s="1" t="n">
        <v>46281</v>
      </c>
      <c r="F427" t="inlineStr">
        <is>
          <t>JÖNKÖPINGS LÄN</t>
        </is>
      </c>
      <c r="G427" t="inlineStr">
        <is>
          <t>GISLAVED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44840</v>
      </c>
      <c r="E428" s="1" t="n">
        <v>46281</v>
      </c>
      <c r="F428" t="inlineStr">
        <is>
          <t>JÖNKÖPINGS LÄN</t>
        </is>
      </c>
      <c r="G428" t="inlineStr">
        <is>
          <t>GISLAVED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45414</v>
      </c>
      <c r="E429" s="1" t="n">
        <v>46281</v>
      </c>
      <c r="F429" t="inlineStr">
        <is>
          <t>JÖNKÖPINGS LÄN</t>
        </is>
      </c>
      <c r="G429" t="inlineStr">
        <is>
          <t>GISLAVED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45231</v>
      </c>
      <c r="E430" s="1" t="n">
        <v>46281</v>
      </c>
      <c r="F430" t="inlineStr">
        <is>
          <t>JÖNKÖPINGS LÄN</t>
        </is>
      </c>
      <c r="G430" t="inlineStr">
        <is>
          <t>GISLAVED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46281</v>
      </c>
      <c r="F431" t="inlineStr">
        <is>
          <t>JÖNKÖPINGS LÄN</t>
        </is>
      </c>
      <c r="G431" t="inlineStr">
        <is>
          <t>GISLAVED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46281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46163</v>
      </c>
      <c r="E433" s="1" t="n">
        <v>46281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45251</v>
      </c>
      <c r="E434" s="1" t="n">
        <v>46281</v>
      </c>
      <c r="F434" t="inlineStr">
        <is>
          <t>JÖNKÖPINGS LÄN</t>
        </is>
      </c>
      <c r="G434" t="inlineStr">
        <is>
          <t>GISLAVED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45534</v>
      </c>
      <c r="E435" s="1" t="n">
        <v>46281</v>
      </c>
      <c r="F435" t="inlineStr">
        <is>
          <t>JÖNKÖPINGS LÄN</t>
        </is>
      </c>
      <c r="G435" t="inlineStr">
        <is>
          <t>GISLAVED</t>
        </is>
      </c>
      <c r="H435" t="inlineStr">
        <is>
          <t>Sveaskog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45534</v>
      </c>
      <c r="E436" s="1" t="n">
        <v>46281</v>
      </c>
      <c r="F436" t="inlineStr">
        <is>
          <t>JÖNKÖPINGS LÄN</t>
        </is>
      </c>
      <c r="G436" t="inlineStr">
        <is>
          <t>GISLAVED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46281</v>
      </c>
      <c r="F437" t="inlineStr">
        <is>
          <t>JÖNKÖPINGS LÄN</t>
        </is>
      </c>
      <c r="G437" t="inlineStr">
        <is>
          <t>GISLAVED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46281</v>
      </c>
      <c r="F438" t="inlineStr">
        <is>
          <t>JÖNKÖPINGS LÄN</t>
        </is>
      </c>
      <c r="G438" t="inlineStr">
        <is>
          <t>GISLAVED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46281</v>
      </c>
      <c r="F439" t="inlineStr">
        <is>
          <t>JÖNKÖPINGS LÄN</t>
        </is>
      </c>
      <c r="G439" t="inlineStr">
        <is>
          <t>GISLAVED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46281</v>
      </c>
      <c r="F440" t="inlineStr">
        <is>
          <t>JÖNKÖPINGS LÄN</t>
        </is>
      </c>
      <c r="G440" t="inlineStr">
        <is>
          <t>GISLAVED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49956-2021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44456</v>
      </c>
      <c r="E441" s="1" t="n">
        <v>46281</v>
      </c>
      <c r="F441" t="inlineStr">
        <is>
          <t>JÖNKÖPINGS LÄN</t>
        </is>
      </c>
      <c r="G441" t="inlineStr">
        <is>
          <t>GISLAVED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45520</v>
      </c>
      <c r="E442" s="1" t="n">
        <v>46281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45425</v>
      </c>
      <c r="E443" s="1" t="n">
        <v>46281</v>
      </c>
      <c r="F443" t="inlineStr">
        <is>
          <t>JÖNKÖPINGS LÄN</t>
        </is>
      </c>
      <c r="G443" t="inlineStr">
        <is>
          <t>GISLAVED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46281</v>
      </c>
      <c r="F444" t="inlineStr">
        <is>
          <t>JÖNKÖPINGS LÄN</t>
        </is>
      </c>
      <c r="G444" t="inlineStr">
        <is>
          <t>GISLAVED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2194-2026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46036</v>
      </c>
      <c r="E445" s="1" t="n">
        <v>46281</v>
      </c>
      <c r="F445" t="inlineStr">
        <is>
          <t>JÖNKÖPINGS LÄN</t>
        </is>
      </c>
      <c r="G445" t="inlineStr">
        <is>
          <t>GISLAVED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61916-2021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44501</v>
      </c>
      <c r="E446" s="1" t="n">
        <v>46281</v>
      </c>
      <c r="F446" t="inlineStr">
        <is>
          <t>JÖNKÖPINGS LÄN</t>
        </is>
      </c>
      <c r="G446" t="inlineStr">
        <is>
          <t>GISLAVED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61922-2021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44501</v>
      </c>
      <c r="E447" s="1" t="n">
        <v>46281</v>
      </c>
      <c r="F447" t="inlineStr">
        <is>
          <t>JÖNKÖPINGS LÄN</t>
        </is>
      </c>
      <c r="G447" t="inlineStr">
        <is>
          <t>GISLAVED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45097</v>
      </c>
      <c r="E448" s="1" t="n">
        <v>46281</v>
      </c>
      <c r="F448" t="inlineStr">
        <is>
          <t>JÖNKÖPINGS LÄN</t>
        </is>
      </c>
      <c r="G448" t="inlineStr">
        <is>
          <t>GISLAVED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46281</v>
      </c>
      <c r="F449" t="inlineStr">
        <is>
          <t>JÖNKÖPINGS LÄN</t>
        </is>
      </c>
      <c r="G449" t="inlineStr">
        <is>
          <t>GISLAVED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46281</v>
      </c>
      <c r="F450" t="inlineStr">
        <is>
          <t>JÖNKÖPINGS LÄN</t>
        </is>
      </c>
      <c r="G450" t="inlineStr">
        <is>
          <t>GISLAVED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46281</v>
      </c>
      <c r="F451" t="inlineStr">
        <is>
          <t>JÖNKÖPINGS LÄN</t>
        </is>
      </c>
      <c r="G451" t="inlineStr">
        <is>
          <t>GISLAVED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45564-2025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46281</v>
      </c>
      <c r="F452" t="inlineStr">
        <is>
          <t>JÖNKÖPINGS LÄN</t>
        </is>
      </c>
      <c r="G452" t="inlineStr">
        <is>
          <t>GISLAVED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46281</v>
      </c>
      <c r="F453" t="inlineStr">
        <is>
          <t>JÖNKÖPINGS LÄN</t>
        </is>
      </c>
      <c r="G453" t="inlineStr">
        <is>
          <t>GISLAVED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46281</v>
      </c>
      <c r="F454" t="inlineStr">
        <is>
          <t>JÖNKÖPINGS LÄN</t>
        </is>
      </c>
      <c r="G454" t="inlineStr">
        <is>
          <t>GISLAVED</t>
        </is>
      </c>
      <c r="I454" t="n">
        <v>9.300000000000001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46281</v>
      </c>
      <c r="F455" t="inlineStr">
        <is>
          <t>JÖNKÖPINGS LÄN</t>
        </is>
      </c>
      <c r="G455" t="inlineStr">
        <is>
          <t>GISLAVED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46281</v>
      </c>
      <c r="F456" t="inlineStr">
        <is>
          <t>JÖNKÖPINGS LÄN</t>
        </is>
      </c>
      <c r="G456" t="inlineStr">
        <is>
          <t>GISLAVED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46281</v>
      </c>
      <c r="F457" t="inlineStr">
        <is>
          <t>JÖNKÖPINGS LÄN</t>
        </is>
      </c>
      <c r="G457" t="inlineStr">
        <is>
          <t>GISLAVED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45875</v>
      </c>
      <c r="E458" s="1" t="n">
        <v>46281</v>
      </c>
      <c r="F458" t="inlineStr">
        <is>
          <t>JÖNKÖPINGS LÄN</t>
        </is>
      </c>
      <c r="G458" t="inlineStr">
        <is>
          <t>GISLAVED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46281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46281</v>
      </c>
      <c r="F460" t="inlineStr">
        <is>
          <t>JÖNKÖPINGS LÄN</t>
        </is>
      </c>
      <c r="G460" t="inlineStr">
        <is>
          <t>GISLAVED</t>
        </is>
      </c>
      <c r="H460" t="inlineStr">
        <is>
          <t>Kyrkan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46281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46281</v>
      </c>
      <c r="F462" t="inlineStr">
        <is>
          <t>JÖNKÖPINGS LÄN</t>
        </is>
      </c>
      <c r="G462" t="inlineStr">
        <is>
          <t>GISLAVED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46281</v>
      </c>
      <c r="F463" t="inlineStr">
        <is>
          <t>JÖNKÖPINGS LÄN</t>
        </is>
      </c>
      <c r="G463" t="inlineStr">
        <is>
          <t>GISLAVED</t>
        </is>
      </c>
      <c r="H463" t="inlineStr">
        <is>
          <t>Kommuner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46281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49493-2023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46281</v>
      </c>
      <c r="F465" t="inlineStr">
        <is>
          <t>JÖNKÖPINGS LÄN</t>
        </is>
      </c>
      <c r="G465" t="inlineStr">
        <is>
          <t>GISLAVED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46281</v>
      </c>
      <c r="F466" t="inlineStr">
        <is>
          <t>JÖNKÖPINGS LÄN</t>
        </is>
      </c>
      <c r="G466" t="inlineStr">
        <is>
          <t>GISLAVED</t>
        </is>
      </c>
      <c r="H466" t="inlineStr">
        <is>
          <t>Kommuner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46281</v>
      </c>
      <c r="F467" t="inlineStr">
        <is>
          <t>JÖNKÖPINGS LÄN</t>
        </is>
      </c>
      <c r="G467" t="inlineStr">
        <is>
          <t>GISLAVED</t>
        </is>
      </c>
      <c r="H467" t="inlineStr">
        <is>
          <t>Kommuner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44651</v>
      </c>
      <c r="E468" s="1" t="n">
        <v>46281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44802</v>
      </c>
      <c r="E469" s="1" t="n">
        <v>46281</v>
      </c>
      <c r="F469" t="inlineStr">
        <is>
          <t>JÖNKÖPINGS LÄN</t>
        </is>
      </c>
      <c r="G469" t="inlineStr">
        <is>
          <t>GISLAVED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44189-2024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45573</v>
      </c>
      <c r="E470" s="1" t="n">
        <v>46281</v>
      </c>
      <c r="F470" t="inlineStr">
        <is>
          <t>JÖNKÖPINGS LÄN</t>
        </is>
      </c>
      <c r="G470" t="inlineStr">
        <is>
          <t>GISLAVED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45349</v>
      </c>
      <c r="E471" s="1" t="n">
        <v>46281</v>
      </c>
      <c r="F471" t="inlineStr">
        <is>
          <t>JÖNKÖPINGS LÄN</t>
        </is>
      </c>
      <c r="G471" t="inlineStr">
        <is>
          <t>GISLAVED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5512-2026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46281</v>
      </c>
      <c r="F472" t="inlineStr">
        <is>
          <t>JÖNKÖPINGS LÄN</t>
        </is>
      </c>
      <c r="G472" t="inlineStr">
        <is>
          <t>GISLAVED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44896</v>
      </c>
      <c r="E473" s="1" t="n">
        <v>46281</v>
      </c>
      <c r="F473" t="inlineStr">
        <is>
          <t>JÖNKÖPINGS LÄN</t>
        </is>
      </c>
      <c r="G473" t="inlineStr">
        <is>
          <t>GISLAVED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45222</v>
      </c>
      <c r="E474" s="1" t="n">
        <v>46281</v>
      </c>
      <c r="F474" t="inlineStr">
        <is>
          <t>JÖNKÖPINGS LÄN</t>
        </is>
      </c>
      <c r="G474" t="inlineStr">
        <is>
          <t>GISLAVED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46281</v>
      </c>
      <c r="F475" t="inlineStr">
        <is>
          <t>JÖNKÖPINGS LÄN</t>
        </is>
      </c>
      <c r="G475" t="inlineStr">
        <is>
          <t>GISLAVED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13915-2023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45008</v>
      </c>
      <c r="E476" s="1" t="n">
        <v>46281</v>
      </c>
      <c r="F476" t="inlineStr">
        <is>
          <t>JÖNKÖPINGS LÄN</t>
        </is>
      </c>
      <c r="G476" t="inlineStr">
        <is>
          <t>GISLAVED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61688-2022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44917</v>
      </c>
      <c r="E477" s="1" t="n">
        <v>46281</v>
      </c>
      <c r="F477" t="inlineStr">
        <is>
          <t>JÖNKÖPINGS LÄN</t>
        </is>
      </c>
      <c r="G477" t="inlineStr">
        <is>
          <t>GISLAVED</t>
        </is>
      </c>
      <c r="H477" t="inlineStr">
        <is>
          <t>Kyrkan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46281</v>
      </c>
      <c r="F478" t="inlineStr">
        <is>
          <t>JÖNKÖPINGS LÄN</t>
        </is>
      </c>
      <c r="G478" t="inlineStr">
        <is>
          <t>GISLAVED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45337</v>
      </c>
      <c r="E479" s="1" t="n">
        <v>46281</v>
      </c>
      <c r="F479" t="inlineStr">
        <is>
          <t>JÖNKÖPINGS LÄN</t>
        </is>
      </c>
      <c r="G479" t="inlineStr">
        <is>
          <t>GISLAVED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45495</v>
      </c>
      <c r="E480" s="1" t="n">
        <v>46281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46051</v>
      </c>
      <c r="E481" s="1" t="n">
        <v>46281</v>
      </c>
      <c r="F481" t="inlineStr">
        <is>
          <t>JÖNKÖPINGS LÄN</t>
        </is>
      </c>
      <c r="G481" t="inlineStr">
        <is>
          <t>GISLAVED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46281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46281</v>
      </c>
      <c r="F483" t="inlineStr">
        <is>
          <t>JÖNKÖPINGS LÄN</t>
        </is>
      </c>
      <c r="G483" t="inlineStr">
        <is>
          <t>GISLAVED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46281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45316</v>
      </c>
      <c r="E485" s="1" t="n">
        <v>46281</v>
      </c>
      <c r="F485" t="inlineStr">
        <is>
          <t>JÖNKÖPINGS LÄN</t>
        </is>
      </c>
      <c r="G485" t="inlineStr">
        <is>
          <t>GISLAVED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46281</v>
      </c>
      <c r="F486" t="inlineStr">
        <is>
          <t>JÖNKÖPINGS LÄN</t>
        </is>
      </c>
      <c r="G486" t="inlineStr">
        <is>
          <t>GISLAVED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9911-2025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45717</v>
      </c>
      <c r="E487" s="1" t="n">
        <v>46281</v>
      </c>
      <c r="F487" t="inlineStr">
        <is>
          <t>JÖNKÖPINGS LÄN</t>
        </is>
      </c>
      <c r="G487" t="inlineStr">
        <is>
          <t>GISLAVED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9071-2022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44615</v>
      </c>
      <c r="E488" s="1" t="n">
        <v>46281</v>
      </c>
      <c r="F488" t="inlineStr">
        <is>
          <t>JÖNKÖPINGS LÄN</t>
        </is>
      </c>
      <c r="G488" t="inlineStr">
        <is>
          <t>GISLAVED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46281</v>
      </c>
      <c r="F489" t="inlineStr">
        <is>
          <t>JÖNKÖPINGS LÄN</t>
        </is>
      </c>
      <c r="G489" t="inlineStr">
        <is>
          <t>GISLAVED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46281</v>
      </c>
      <c r="F490" t="inlineStr">
        <is>
          <t>JÖNKÖPINGS LÄN</t>
        </is>
      </c>
      <c r="G490" t="inlineStr">
        <is>
          <t>GISLAVED</t>
        </is>
      </c>
      <c r="H490" t="inlineStr">
        <is>
          <t>Kyrkan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7509-2023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44971</v>
      </c>
      <c r="E491" s="1" t="n">
        <v>46281</v>
      </c>
      <c r="F491" t="inlineStr">
        <is>
          <t>JÖNKÖPINGS LÄN</t>
        </is>
      </c>
      <c r="G491" t="inlineStr">
        <is>
          <t>GISLAVED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7510-2023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44971</v>
      </c>
      <c r="E492" s="1" t="n">
        <v>46281</v>
      </c>
      <c r="F492" t="inlineStr">
        <is>
          <t>JÖNKÖPINGS LÄN</t>
        </is>
      </c>
      <c r="G492" t="inlineStr">
        <is>
          <t>GISLAVED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45758</v>
      </c>
      <c r="E493" s="1" t="n">
        <v>46281</v>
      </c>
      <c r="F493" t="inlineStr">
        <is>
          <t>JÖNKÖPINGS LÄN</t>
        </is>
      </c>
      <c r="G493" t="inlineStr">
        <is>
          <t>GISLAVED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46281</v>
      </c>
      <c r="F494" t="inlineStr">
        <is>
          <t>JÖNKÖPINGS LÄN</t>
        </is>
      </c>
      <c r="G494" t="inlineStr">
        <is>
          <t>GISLAVED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46281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46281</v>
      </c>
      <c r="F496" t="inlineStr">
        <is>
          <t>JÖNKÖPINGS LÄN</t>
        </is>
      </c>
      <c r="G496" t="inlineStr">
        <is>
          <t>GISLAVED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45250</v>
      </c>
      <c r="E497" s="1" t="n">
        <v>46281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46281</v>
      </c>
      <c r="F498" t="inlineStr">
        <is>
          <t>JÖNKÖPINGS LÄN</t>
        </is>
      </c>
      <c r="G498" t="inlineStr">
        <is>
          <t>GISLAVED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45084</v>
      </c>
      <c r="E499" s="1" t="n">
        <v>46281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73551-2021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44551</v>
      </c>
      <c r="E500" s="1" t="n">
        <v>46281</v>
      </c>
      <c r="F500" t="inlineStr">
        <is>
          <t>JÖNKÖPINGS LÄN</t>
        </is>
      </c>
      <c r="G500" t="inlineStr">
        <is>
          <t>GISLAVED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73908-2021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44553</v>
      </c>
      <c r="E501" s="1" t="n">
        <v>46281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46073</v>
      </c>
      <c r="E502" s="1" t="n">
        <v>46281</v>
      </c>
      <c r="F502" t="inlineStr">
        <is>
          <t>JÖNKÖPINGS LÄN</t>
        </is>
      </c>
      <c r="G502" t="inlineStr">
        <is>
          <t>GISLAVED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46281</v>
      </c>
      <c r="F503" t="inlineStr">
        <is>
          <t>JÖNKÖPINGS LÄN</t>
        </is>
      </c>
      <c r="G503" t="inlineStr">
        <is>
          <t>GISLAVED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46281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60261-2022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44910</v>
      </c>
      <c r="E505" s="1" t="n">
        <v>46281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45559</v>
      </c>
      <c r="E506" s="1" t="n">
        <v>46281</v>
      </c>
      <c r="F506" t="inlineStr">
        <is>
          <t>JÖNKÖPINGS LÄN</t>
        </is>
      </c>
      <c r="G506" t="inlineStr">
        <is>
          <t>GISLAVED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28964-2023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45104</v>
      </c>
      <c r="E507" s="1" t="n">
        <v>46281</v>
      </c>
      <c r="F507" t="inlineStr">
        <is>
          <t>JÖNKÖPINGS LÄN</t>
        </is>
      </c>
      <c r="G507" t="inlineStr">
        <is>
          <t>GISLAVED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46281</v>
      </c>
      <c r="F508" t="inlineStr">
        <is>
          <t>JÖNKÖPINGS LÄN</t>
        </is>
      </c>
      <c r="G508" t="inlineStr">
        <is>
          <t>GISLAVED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45337</v>
      </c>
      <c r="E509" s="1" t="n">
        <v>46281</v>
      </c>
      <c r="F509" t="inlineStr">
        <is>
          <t>JÖNKÖPINGS LÄN</t>
        </is>
      </c>
      <c r="G509" t="inlineStr">
        <is>
          <t>GISLAVED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46281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46281</v>
      </c>
      <c r="F511" t="inlineStr">
        <is>
          <t>JÖNKÖPINGS LÄN</t>
        </is>
      </c>
      <c r="G511" t="inlineStr">
        <is>
          <t>GISLAVED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46281</v>
      </c>
      <c r="F512" t="inlineStr">
        <is>
          <t>JÖNKÖPINGS LÄN</t>
        </is>
      </c>
      <c r="G512" t="inlineStr">
        <is>
          <t>GISLAVED</t>
        </is>
      </c>
      <c r="H512" t="inlineStr">
        <is>
          <t>Sveaskog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46281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45009</v>
      </c>
      <c r="E514" s="1" t="n">
        <v>46281</v>
      </c>
      <c r="F514" t="inlineStr">
        <is>
          <t>JÖNKÖPINGS LÄN</t>
        </is>
      </c>
      <c r="G514" t="inlineStr">
        <is>
          <t>GISLAVED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46281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28746-2022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44749</v>
      </c>
      <c r="E516" s="1" t="n">
        <v>46281</v>
      </c>
      <c r="F516" t="inlineStr">
        <is>
          <t>JÖNKÖPINGS LÄN</t>
        </is>
      </c>
      <c r="G516" t="inlineStr">
        <is>
          <t>GISLAVED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46281</v>
      </c>
      <c r="F517" t="inlineStr">
        <is>
          <t>JÖNKÖPINGS LÄN</t>
        </is>
      </c>
      <c r="G517" t="inlineStr">
        <is>
          <t>GISLAVED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46281</v>
      </c>
      <c r="F518" t="inlineStr">
        <is>
          <t>JÖNKÖPINGS LÄN</t>
        </is>
      </c>
      <c r="G518" t="inlineStr">
        <is>
          <t>GISLAVED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46281</v>
      </c>
      <c r="F519" t="inlineStr">
        <is>
          <t>JÖNKÖPINGS LÄN</t>
        </is>
      </c>
      <c r="G519" t="inlineStr">
        <is>
          <t>GISLAVED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38214-2024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45545</v>
      </c>
      <c r="E520" s="1" t="n">
        <v>46281</v>
      </c>
      <c r="F520" t="inlineStr">
        <is>
          <t>JÖNKÖPINGS LÄN</t>
        </is>
      </c>
      <c r="G520" t="inlineStr">
        <is>
          <t>GISLAVED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46281</v>
      </c>
      <c r="F521" t="inlineStr">
        <is>
          <t>JÖNKÖPINGS LÄN</t>
        </is>
      </c>
      <c r="G521" t="inlineStr">
        <is>
          <t>GISLAVED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46193</v>
      </c>
      <c r="E522" s="1" t="n">
        <v>46281</v>
      </c>
      <c r="F522" t="inlineStr">
        <is>
          <t>JÖNKÖPINGS LÄN</t>
        </is>
      </c>
      <c r="G522" t="inlineStr">
        <is>
          <t>GISLAVED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50161-2022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44860</v>
      </c>
      <c r="E523" s="1" t="n">
        <v>46281</v>
      </c>
      <c r="F523" t="inlineStr">
        <is>
          <t>JÖNKÖPINGS LÄN</t>
        </is>
      </c>
      <c r="G523" t="inlineStr">
        <is>
          <t>GISLAVED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46281</v>
      </c>
      <c r="F524" t="inlineStr">
        <is>
          <t>JÖNKÖPINGS LÄN</t>
        </is>
      </c>
      <c r="G524" t="inlineStr">
        <is>
          <t>GISLAVED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46281</v>
      </c>
      <c r="F525" t="inlineStr">
        <is>
          <t>JÖNKÖPINGS LÄN</t>
        </is>
      </c>
      <c r="G525" t="inlineStr">
        <is>
          <t>GISLAVED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39598-2023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45167</v>
      </c>
      <c r="E526" s="1" t="n">
        <v>46281</v>
      </c>
      <c r="F526" t="inlineStr">
        <is>
          <t>JÖNKÖPINGS LÄN</t>
        </is>
      </c>
      <c r="G526" t="inlineStr">
        <is>
          <t>GISLAVED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46281</v>
      </c>
      <c r="F527" t="inlineStr">
        <is>
          <t>JÖNKÖPINGS LÄN</t>
        </is>
      </c>
      <c r="G527" t="inlineStr">
        <is>
          <t>GISLAVED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27996-2026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46281</v>
      </c>
      <c r="F528" t="inlineStr">
        <is>
          <t>JÖNKÖPINGS LÄN</t>
        </is>
      </c>
      <c r="G528" t="inlineStr">
        <is>
          <t>GISLAVED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46281</v>
      </c>
      <c r="F529" t="inlineStr">
        <is>
          <t>JÖNKÖPINGS LÄN</t>
        </is>
      </c>
      <c r="G529" t="inlineStr">
        <is>
          <t>GISLAVED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44949</v>
      </c>
      <c r="E530" s="1" t="n">
        <v>46281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29151-2024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45482</v>
      </c>
      <c r="E531" s="1" t="n">
        <v>46281</v>
      </c>
      <c r="F531" t="inlineStr">
        <is>
          <t>JÖNKÖPINGS LÄN</t>
        </is>
      </c>
      <c r="G531" t="inlineStr">
        <is>
          <t>GISLAVED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53749-2022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44880</v>
      </c>
      <c r="E532" s="1" t="n">
        <v>46281</v>
      </c>
      <c r="F532" t="inlineStr">
        <is>
          <t>JÖNKÖPINGS LÄN</t>
        </is>
      </c>
      <c r="G532" t="inlineStr">
        <is>
          <t>GISLAVED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46281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45615</v>
      </c>
      <c r="E534" s="1" t="n">
        <v>46281</v>
      </c>
      <c r="F534" t="inlineStr">
        <is>
          <t>JÖNKÖPINGS LÄN</t>
        </is>
      </c>
      <c r="G534" t="inlineStr">
        <is>
          <t>GISLAVED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58955-2021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44489</v>
      </c>
      <c r="E535" s="1" t="n">
        <v>46281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46281</v>
      </c>
      <c r="F536" t="inlineStr">
        <is>
          <t>JÖNKÖPINGS LÄN</t>
        </is>
      </c>
      <c r="G536" t="inlineStr">
        <is>
          <t>GISLAVED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56945-2022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44894</v>
      </c>
      <c r="E537" s="1" t="n">
        <v>46281</v>
      </c>
      <c r="F537" t="inlineStr">
        <is>
          <t>JÖNKÖPINGS LÄN</t>
        </is>
      </c>
      <c r="G537" t="inlineStr">
        <is>
          <t>GISLAVED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45666</v>
      </c>
      <c r="E538" s="1" t="n">
        <v>46281</v>
      </c>
      <c r="F538" t="inlineStr">
        <is>
          <t>JÖNKÖPINGS LÄN</t>
        </is>
      </c>
      <c r="G538" t="inlineStr">
        <is>
          <t>GISLAVED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49451-2024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46281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10366-2024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45365</v>
      </c>
      <c r="E540" s="1" t="n">
        <v>46281</v>
      </c>
      <c r="F540" t="inlineStr">
        <is>
          <t>JÖNKÖPINGS LÄN</t>
        </is>
      </c>
      <c r="G540" t="inlineStr">
        <is>
          <t>GISLAVED</t>
        </is>
      </c>
      <c r="H540" t="inlineStr">
        <is>
          <t>Kyrkan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44931</v>
      </c>
      <c r="E541" s="1" t="n">
        <v>46281</v>
      </c>
      <c r="F541" t="inlineStr">
        <is>
          <t>JÖNKÖPINGS LÄN</t>
        </is>
      </c>
      <c r="G541" t="inlineStr">
        <is>
          <t>GISLAVED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44931</v>
      </c>
      <c r="E542" s="1" t="n">
        <v>46281</v>
      </c>
      <c r="F542" t="inlineStr">
        <is>
          <t>JÖNKÖPINGS LÄN</t>
        </is>
      </c>
      <c r="G542" t="inlineStr">
        <is>
          <t>GISLAVED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54223-2024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45616</v>
      </c>
      <c r="E543" s="1" t="n">
        <v>46281</v>
      </c>
      <c r="F543" t="inlineStr">
        <is>
          <t>JÖNKÖPINGS LÄN</t>
        </is>
      </c>
      <c r="G543" t="inlineStr">
        <is>
          <t>GISLAVED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8503-2025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45709</v>
      </c>
      <c r="E544" s="1" t="n">
        <v>46281</v>
      </c>
      <c r="F544" t="inlineStr">
        <is>
          <t>JÖNKÖPINGS LÄN</t>
        </is>
      </c>
      <c r="G544" t="inlineStr">
        <is>
          <t>GISLAVED</t>
        </is>
      </c>
      <c r="H544" t="inlineStr">
        <is>
          <t>Kommuner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74259-2021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44558</v>
      </c>
      <c r="E545" s="1" t="n">
        <v>46281</v>
      </c>
      <c r="F545" t="inlineStr">
        <is>
          <t>JÖNKÖPINGS LÄN</t>
        </is>
      </c>
      <c r="G545" t="inlineStr">
        <is>
          <t>GISLAVED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13617-2024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45390</v>
      </c>
      <c r="E546" s="1" t="n">
        <v>46281</v>
      </c>
      <c r="F546" t="inlineStr">
        <is>
          <t>JÖNKÖPINGS LÄN</t>
        </is>
      </c>
      <c r="G546" t="inlineStr">
        <is>
          <t>GISLAVED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45702</v>
      </c>
      <c r="E547" s="1" t="n">
        <v>46281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60966-2021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44496</v>
      </c>
      <c r="E548" s="1" t="n">
        <v>46281</v>
      </c>
      <c r="F548" t="inlineStr">
        <is>
          <t>JÖNKÖPINGS LÄN</t>
        </is>
      </c>
      <c r="G548" t="inlineStr">
        <is>
          <t>GISLAVED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45735</v>
      </c>
      <c r="E549" s="1" t="n">
        <v>46281</v>
      </c>
      <c r="F549" t="inlineStr">
        <is>
          <t>JÖNKÖPINGS LÄN</t>
        </is>
      </c>
      <c r="G549" t="inlineStr">
        <is>
          <t>GISLAVED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42983-2023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45177</v>
      </c>
      <c r="E550" s="1" t="n">
        <v>46281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45223</v>
      </c>
      <c r="E551" s="1" t="n">
        <v>46281</v>
      </c>
      <c r="F551" t="inlineStr">
        <is>
          <t>JÖNKÖPINGS LÄN</t>
        </is>
      </c>
      <c r="G551" t="inlineStr">
        <is>
          <t>GISLAVED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44581</v>
      </c>
      <c r="E552" s="1" t="n">
        <v>46281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46281</v>
      </c>
      <c r="F553" t="inlineStr">
        <is>
          <t>JÖNKÖPINGS LÄN</t>
        </is>
      </c>
      <c r="G553" t="inlineStr">
        <is>
          <t>GISLAVED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29810-2026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46205</v>
      </c>
      <c r="E554" s="1" t="n">
        <v>46281</v>
      </c>
      <c r="F554" t="inlineStr">
        <is>
          <t>JÖNKÖPINGS LÄN</t>
        </is>
      </c>
      <c r="G554" t="inlineStr">
        <is>
          <t>GISLAVED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46281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45484</v>
      </c>
      <c r="E556" s="1" t="n">
        <v>46281</v>
      </c>
      <c r="F556" t="inlineStr">
        <is>
          <t>JÖNKÖPINGS LÄN</t>
        </is>
      </c>
      <c r="G556" t="inlineStr">
        <is>
          <t>GISLAVED</t>
        </is>
      </c>
      <c r="H556" t="inlineStr">
        <is>
          <t>Kyrkan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45585</v>
      </c>
      <c r="E557" s="1" t="n">
        <v>46281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31795-2024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46281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45385</v>
      </c>
      <c r="E559" s="1" t="n">
        <v>46281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25649-2023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45089</v>
      </c>
      <c r="E560" s="1" t="n">
        <v>46281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46281</v>
      </c>
      <c r="F561" t="inlineStr">
        <is>
          <t>JÖNKÖPINGS LÄN</t>
        </is>
      </c>
      <c r="G561" t="inlineStr">
        <is>
          <t>GISLAVED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45054</v>
      </c>
      <c r="E562" s="1" t="n">
        <v>46281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47891-2023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46281</v>
      </c>
      <c r="F563" t="inlineStr">
        <is>
          <t>JÖNKÖPINGS LÄN</t>
        </is>
      </c>
      <c r="G563" t="inlineStr">
        <is>
          <t>GISLAVED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45629</v>
      </c>
      <c r="E564" s="1" t="n">
        <v>46281</v>
      </c>
      <c r="F564" t="inlineStr">
        <is>
          <t>JÖNKÖPINGS LÄN</t>
        </is>
      </c>
      <c r="G564" t="inlineStr">
        <is>
          <t>GISLAVED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45675</v>
      </c>
      <c r="E565" s="1" t="n">
        <v>46281</v>
      </c>
      <c r="F565" t="inlineStr">
        <is>
          <t>JÖNKÖPINGS LÄN</t>
        </is>
      </c>
      <c r="G565" t="inlineStr">
        <is>
          <t>GISLAVED</t>
        </is>
      </c>
      <c r="H565" t="inlineStr">
        <is>
          <t>Kommuner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46281</v>
      </c>
      <c r="F566" t="inlineStr">
        <is>
          <t>JÖNKÖPINGS LÄN</t>
        </is>
      </c>
      <c r="G566" t="inlineStr">
        <is>
          <t>GISLAVED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46205</v>
      </c>
      <c r="E567" s="1" t="n">
        <v>46281</v>
      </c>
      <c r="F567" t="inlineStr">
        <is>
          <t>JÖNKÖPINGS LÄN</t>
        </is>
      </c>
      <c r="G567" t="inlineStr">
        <is>
          <t>GISLAVED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10186-2025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45719</v>
      </c>
      <c r="E568" s="1" t="n">
        <v>46281</v>
      </c>
      <c r="F568" t="inlineStr">
        <is>
          <t>JÖNKÖPINGS LÄN</t>
        </is>
      </c>
      <c r="G568" t="inlineStr">
        <is>
          <t>GISLAVED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10188-2025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46281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44578</v>
      </c>
      <c r="E570" s="1" t="n">
        <v>46281</v>
      </c>
      <c r="F570" t="inlineStr">
        <is>
          <t>JÖNKÖPINGS LÄN</t>
        </is>
      </c>
      <c r="G570" t="inlineStr">
        <is>
          <t>GISLAVED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31149-2024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45503</v>
      </c>
      <c r="E571" s="1" t="n">
        <v>46281</v>
      </c>
      <c r="F571" t="inlineStr">
        <is>
          <t>JÖNKÖPINGS LÄN</t>
        </is>
      </c>
      <c r="G571" t="inlineStr">
        <is>
          <t>GISLAVED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46250</v>
      </c>
      <c r="E572" s="1" t="n">
        <v>46281</v>
      </c>
      <c r="F572" t="inlineStr">
        <is>
          <t>JÖNKÖPINGS LÄN</t>
        </is>
      </c>
      <c r="G572" t="inlineStr">
        <is>
          <t>GISLAVED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18833-2025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46281</v>
      </c>
      <c r="F573" t="inlineStr">
        <is>
          <t>JÖNKÖPINGS LÄN</t>
        </is>
      </c>
      <c r="G573" t="inlineStr">
        <is>
          <t>GISLAVED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46281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46281</v>
      </c>
      <c r="F575" t="inlineStr">
        <is>
          <t>JÖNKÖPINGS LÄN</t>
        </is>
      </c>
      <c r="G575" t="inlineStr">
        <is>
          <t>GISLAVED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44469-2023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45189</v>
      </c>
      <c r="E576" s="1" t="n">
        <v>46281</v>
      </c>
      <c r="F576" t="inlineStr">
        <is>
          <t>JÖNKÖPINGS LÄN</t>
        </is>
      </c>
      <c r="G576" t="inlineStr">
        <is>
          <t>GISLAVED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38256-2024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45545</v>
      </c>
      <c r="E577" s="1" t="n">
        <v>46281</v>
      </c>
      <c r="F577" t="inlineStr">
        <is>
          <t>JÖNKÖPINGS LÄN</t>
        </is>
      </c>
      <c r="G577" t="inlineStr">
        <is>
          <t>GISLAVED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31675-2022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44776</v>
      </c>
      <c r="E578" s="1" t="n">
        <v>46281</v>
      </c>
      <c r="F578" t="inlineStr">
        <is>
          <t>JÖNKÖPINGS LÄN</t>
        </is>
      </c>
      <c r="G578" t="inlineStr">
        <is>
          <t>GISLAVED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7328-2022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44606</v>
      </c>
      <c r="E579" s="1" t="n">
        <v>46281</v>
      </c>
      <c r="F579" t="inlineStr">
        <is>
          <t>JÖNKÖPINGS LÄN</t>
        </is>
      </c>
      <c r="G579" t="inlineStr">
        <is>
          <t>GISLAVED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12453-2025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45730</v>
      </c>
      <c r="E580" s="1" t="n">
        <v>46281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40178-2023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45169</v>
      </c>
      <c r="E581" s="1" t="n">
        <v>46281</v>
      </c>
      <c r="F581" t="inlineStr">
        <is>
          <t>JÖNKÖPINGS LÄN</t>
        </is>
      </c>
      <c r="G581" t="inlineStr">
        <is>
          <t>GISLAVED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46257</v>
      </c>
      <c r="E582" s="1" t="n">
        <v>46281</v>
      </c>
      <c r="F582" t="inlineStr">
        <is>
          <t>JÖNKÖPINGS LÄN</t>
        </is>
      </c>
      <c r="G582" t="inlineStr">
        <is>
          <t>GISLAVED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44594</v>
      </c>
      <c r="E583" s="1" t="n">
        <v>46281</v>
      </c>
      <c r="F583" t="inlineStr">
        <is>
          <t>JÖNKÖPINGS LÄN</t>
        </is>
      </c>
      <c r="G583" t="inlineStr">
        <is>
          <t>GISLAVED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28402-2023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45100</v>
      </c>
      <c r="E584" s="1" t="n">
        <v>46281</v>
      </c>
      <c r="F584" t="inlineStr">
        <is>
          <t>JÖNKÖPINGS LÄN</t>
        </is>
      </c>
      <c r="G584" t="inlineStr">
        <is>
          <t>GISLAVED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53311-2024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45614</v>
      </c>
      <c r="E585" s="1" t="n">
        <v>46281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53801-2023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45231</v>
      </c>
      <c r="E586" s="1" t="n">
        <v>46281</v>
      </c>
      <c r="F586" t="inlineStr">
        <is>
          <t>JÖNKÖPINGS LÄN</t>
        </is>
      </c>
      <c r="G586" t="inlineStr">
        <is>
          <t>GISLAVED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46281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28400-2023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45100</v>
      </c>
      <c r="E588" s="1" t="n">
        <v>46281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45404</v>
      </c>
      <c r="E589" s="1" t="n">
        <v>46281</v>
      </c>
      <c r="F589" t="inlineStr">
        <is>
          <t>JÖNKÖPINGS LÄN</t>
        </is>
      </c>
      <c r="G589" t="inlineStr">
        <is>
          <t>GISLAVED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15708-2024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45404</v>
      </c>
      <c r="E590" s="1" t="n">
        <v>46281</v>
      </c>
      <c r="F590" t="inlineStr">
        <is>
          <t>JÖNKÖPINGS LÄN</t>
        </is>
      </c>
      <c r="G590" t="inlineStr">
        <is>
          <t>GISLAVED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46281</v>
      </c>
      <c r="F591" t="inlineStr">
        <is>
          <t>JÖNKÖPINGS LÄN</t>
        </is>
      </c>
      <c r="G591" t="inlineStr">
        <is>
          <t>GISLAVED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46281</v>
      </c>
      <c r="F592" t="inlineStr">
        <is>
          <t>JÖNKÖPINGS LÄN</t>
        </is>
      </c>
      <c r="G592" t="inlineStr">
        <is>
          <t>GISLAVED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45675</v>
      </c>
      <c r="E593" s="1" t="n">
        <v>46281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46281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42070-2023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45174</v>
      </c>
      <c r="E595" s="1" t="n">
        <v>46281</v>
      </c>
      <c r="F595" t="inlineStr">
        <is>
          <t>JÖNKÖPINGS LÄN</t>
        </is>
      </c>
      <c r="G595" t="inlineStr">
        <is>
          <t>GISLAVED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45263-2023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46281</v>
      </c>
      <c r="F596" t="inlineStr">
        <is>
          <t>JÖNKÖPINGS LÄN</t>
        </is>
      </c>
      <c r="G596" t="inlineStr">
        <is>
          <t>GISLAVED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44742-2023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45190</v>
      </c>
      <c r="E597" s="1" t="n">
        <v>46281</v>
      </c>
      <c r="F597" t="inlineStr">
        <is>
          <t>JÖNKÖPINGS LÄN</t>
        </is>
      </c>
      <c r="G597" t="inlineStr">
        <is>
          <t>GISLAVED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57007-2023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46281</v>
      </c>
      <c r="F598" t="inlineStr">
        <is>
          <t>JÖNKÖPINGS LÄN</t>
        </is>
      </c>
      <c r="G598" t="inlineStr">
        <is>
          <t>GISLAVED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45702</v>
      </c>
      <c r="E599" s="1" t="n">
        <v>46281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31092-2026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46281</v>
      </c>
      <c r="F600" t="inlineStr">
        <is>
          <t>JÖNKÖPINGS LÄN</t>
        </is>
      </c>
      <c r="G600" t="inlineStr">
        <is>
          <t>GISLAVED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43713-2023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45187</v>
      </c>
      <c r="E601" s="1" t="n">
        <v>46281</v>
      </c>
      <c r="F601" t="inlineStr">
        <is>
          <t>JÖNKÖPINGS LÄN</t>
        </is>
      </c>
      <c r="G601" t="inlineStr">
        <is>
          <t>GISLAVED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56089-2024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46281</v>
      </c>
      <c r="F602" t="inlineStr">
        <is>
          <t>JÖNKÖPINGS LÄN</t>
        </is>
      </c>
      <c r="G602" t="inlineStr">
        <is>
          <t>GISLAVED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45352</v>
      </c>
      <c r="E603" s="1" t="n">
        <v>46281</v>
      </c>
      <c r="F603" t="inlineStr">
        <is>
          <t>JÖNKÖPINGS LÄN</t>
        </is>
      </c>
      <c r="G603" t="inlineStr">
        <is>
          <t>GISLAVED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46281</v>
      </c>
      <c r="F604" t="inlineStr">
        <is>
          <t>JÖNKÖPINGS LÄN</t>
        </is>
      </c>
      <c r="G604" t="inlineStr">
        <is>
          <t>GISLAVED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45320</v>
      </c>
      <c r="E605" s="1" t="n">
        <v>46281</v>
      </c>
      <c r="F605" t="inlineStr">
        <is>
          <t>JÖNKÖPINGS LÄN</t>
        </is>
      </c>
      <c r="G605" t="inlineStr">
        <is>
          <t>GISLAVED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15048-2022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44657</v>
      </c>
      <c r="E606" s="1" t="n">
        <v>46281</v>
      </c>
      <c r="F606" t="inlineStr">
        <is>
          <t>JÖNKÖPINGS LÄN</t>
        </is>
      </c>
      <c r="G606" t="inlineStr">
        <is>
          <t>GISLAVED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45511</v>
      </c>
      <c r="E607" s="1" t="n">
        <v>46281</v>
      </c>
      <c r="F607" t="inlineStr">
        <is>
          <t>JÖNKÖPINGS LÄN</t>
        </is>
      </c>
      <c r="G607" t="inlineStr">
        <is>
          <t>GISLAVED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60346-2023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45259</v>
      </c>
      <c r="E608" s="1" t="n">
        <v>46281</v>
      </c>
      <c r="F608" t="inlineStr">
        <is>
          <t>JÖNKÖPINGS LÄN</t>
        </is>
      </c>
      <c r="G608" t="inlineStr">
        <is>
          <t>GISLAVED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45509</v>
      </c>
      <c r="E609" s="1" t="n">
        <v>46281</v>
      </c>
      <c r="F609" t="inlineStr">
        <is>
          <t>JÖNKÖPINGS LÄN</t>
        </is>
      </c>
      <c r="G609" t="inlineStr">
        <is>
          <t>GISLAVED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32684-2026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46240</v>
      </c>
      <c r="E610" s="1" t="n">
        <v>46281</v>
      </c>
      <c r="F610" t="inlineStr">
        <is>
          <t>JÖNKÖPINGS LÄN</t>
        </is>
      </c>
      <c r="G610" t="inlineStr">
        <is>
          <t>GISLAVED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46266</v>
      </c>
      <c r="E611" s="1" t="n">
        <v>46281</v>
      </c>
      <c r="F611" t="inlineStr">
        <is>
          <t>JÖNKÖPINGS LÄN</t>
        </is>
      </c>
      <c r="G611" t="inlineStr">
        <is>
          <t>GISLAVED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57698-2022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44883</v>
      </c>
      <c r="E612" s="1" t="n">
        <v>46281</v>
      </c>
      <c r="F612" t="inlineStr">
        <is>
          <t>JÖNKÖPINGS LÄN</t>
        </is>
      </c>
      <c r="G612" t="inlineStr">
        <is>
          <t>GISLAVED</t>
        </is>
      </c>
      <c r="I612" t="n">
        <v>5.4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8560-2025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45709</v>
      </c>
      <c r="E613" s="1" t="n">
        <v>46281</v>
      </c>
      <c r="F613" t="inlineStr">
        <is>
          <t>JÖNKÖPINGS LÄN</t>
        </is>
      </c>
      <c r="G613" t="inlineStr">
        <is>
          <t>GISLAVED</t>
        </is>
      </c>
      <c r="H613" t="inlineStr">
        <is>
          <t>Kommuner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45709</v>
      </c>
      <c r="E614" s="1" t="n">
        <v>46281</v>
      </c>
      <c r="F614" t="inlineStr">
        <is>
          <t>JÖNKÖPINGS LÄN</t>
        </is>
      </c>
      <c r="G614" t="inlineStr">
        <is>
          <t>GISLAVED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46224</v>
      </c>
      <c r="E615" s="1" t="n">
        <v>46281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46281</v>
      </c>
      <c r="F616" t="inlineStr">
        <is>
          <t>JÖNKÖPINGS LÄN</t>
        </is>
      </c>
      <c r="G616" t="inlineStr">
        <is>
          <t>GISLAVED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61871-2023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45266</v>
      </c>
      <c r="E617" s="1" t="n">
        <v>46281</v>
      </c>
      <c r="F617" t="inlineStr">
        <is>
          <t>JÖNKÖPINGS LÄN</t>
        </is>
      </c>
      <c r="G617" t="inlineStr">
        <is>
          <t>GISLAVED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45468</v>
      </c>
      <c r="E618" s="1" t="n">
        <v>46281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31888-2023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46281</v>
      </c>
      <c r="F619" t="inlineStr">
        <is>
          <t>JÖNKÖPINGS LÄN</t>
        </is>
      </c>
      <c r="G619" t="inlineStr">
        <is>
          <t>GISLAVED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44931</v>
      </c>
      <c r="E620" s="1" t="n">
        <v>46281</v>
      </c>
      <c r="F620" t="inlineStr">
        <is>
          <t>JÖNKÖPINGS LÄN</t>
        </is>
      </c>
      <c r="G620" t="inlineStr">
        <is>
          <t>GISLAVED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46281</v>
      </c>
      <c r="F621" t="inlineStr">
        <is>
          <t>JÖNKÖPINGS LÄN</t>
        </is>
      </c>
      <c r="G621" t="inlineStr">
        <is>
          <t>GISLAVED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10673-2022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44624</v>
      </c>
      <c r="E622" s="1" t="n">
        <v>46281</v>
      </c>
      <c r="F622" t="inlineStr">
        <is>
          <t>JÖNKÖPINGS LÄN</t>
        </is>
      </c>
      <c r="G622" t="inlineStr">
        <is>
          <t>GISLAVED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58614-2024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45635</v>
      </c>
      <c r="E623" s="1" t="n">
        <v>46281</v>
      </c>
      <c r="F623" t="inlineStr">
        <is>
          <t>JÖNKÖPINGS LÄN</t>
        </is>
      </c>
      <c r="G623" t="inlineStr">
        <is>
          <t>GISLAVED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46272</v>
      </c>
      <c r="E624" s="1" t="n">
        <v>46281</v>
      </c>
      <c r="F624" t="inlineStr">
        <is>
          <t>JÖNKÖPINGS LÄN</t>
        </is>
      </c>
      <c r="G624" t="inlineStr">
        <is>
          <t>GISLAVED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46274</v>
      </c>
      <c r="E625" s="1" t="n">
        <v>46281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46230</v>
      </c>
      <c r="E626" s="1" t="n">
        <v>46281</v>
      </c>
      <c r="F626" t="inlineStr">
        <is>
          <t>JÖNKÖPINGS LÄN</t>
        </is>
      </c>
      <c r="G626" t="inlineStr">
        <is>
          <t>GISLAVED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31817-2026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46230</v>
      </c>
      <c r="E627" s="1" t="n">
        <v>46281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46281</v>
      </c>
      <c r="F628" t="inlineStr">
        <is>
          <t>JÖNKÖPINGS LÄN</t>
        </is>
      </c>
      <c r="G628" t="inlineStr">
        <is>
          <t>GISLAVED</t>
        </is>
      </c>
      <c r="H628" t="inlineStr">
        <is>
          <t>Kyrkan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46281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4282-2022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44588</v>
      </c>
      <c r="E630" s="1" t="n">
        <v>46281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46233</v>
      </c>
      <c r="E631" s="1" t="n">
        <v>46281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3840-2025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45682</v>
      </c>
      <c r="E632" s="1" t="n">
        <v>46281</v>
      </c>
      <c r="F632" t="inlineStr">
        <is>
          <t>JÖNKÖPINGS LÄN</t>
        </is>
      </c>
      <c r="G632" t="inlineStr">
        <is>
          <t>GISLAVED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32054-2026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46233</v>
      </c>
      <c r="E633" s="1" t="n">
        <v>46281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49801-2023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45212</v>
      </c>
      <c r="E634" s="1" t="n">
        <v>46281</v>
      </c>
      <c r="F634" t="inlineStr">
        <is>
          <t>JÖNKÖPINGS LÄN</t>
        </is>
      </c>
      <c r="G634" t="inlineStr">
        <is>
          <t>GISLAVED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45672</v>
      </c>
      <c r="E635" s="1" t="n">
        <v>46281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31933-2026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46232</v>
      </c>
      <c r="E636" s="1" t="n">
        <v>46281</v>
      </c>
      <c r="F636" t="inlineStr">
        <is>
          <t>JÖNKÖPINGS LÄN</t>
        </is>
      </c>
      <c r="G636" t="inlineStr">
        <is>
          <t>GISLAVED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46281</v>
      </c>
      <c r="F637" t="inlineStr">
        <is>
          <t>JÖNKÖPINGS LÄN</t>
        </is>
      </c>
      <c r="G637" t="inlineStr">
        <is>
          <t>GISLAVED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37495-2026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46275</v>
      </c>
      <c r="E638" s="1" t="n">
        <v>46281</v>
      </c>
      <c r="F638" t="inlineStr">
        <is>
          <t>JÖNKÖPINGS LÄN</t>
        </is>
      </c>
      <c r="G638" t="inlineStr">
        <is>
          <t>GISLAVED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51087-2024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45603</v>
      </c>
      <c r="E639" s="1" t="n">
        <v>46281</v>
      </c>
      <c r="F639" t="inlineStr">
        <is>
          <t>JÖNKÖPINGS LÄN</t>
        </is>
      </c>
      <c r="G639" t="inlineStr">
        <is>
          <t>GISLAVED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51099-2024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45603</v>
      </c>
      <c r="E640" s="1" t="n">
        <v>46281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44945</v>
      </c>
      <c r="E641" s="1" t="n">
        <v>46281</v>
      </c>
      <c r="F641" t="inlineStr">
        <is>
          <t>JÖNKÖPINGS LÄN</t>
        </is>
      </c>
      <c r="G641" t="inlineStr">
        <is>
          <t>GISLAVED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46232</v>
      </c>
      <c r="E642" s="1" t="n">
        <v>46281</v>
      </c>
      <c r="F642" t="inlineStr">
        <is>
          <t>JÖNKÖPINGS LÄN</t>
        </is>
      </c>
      <c r="G642" t="inlineStr">
        <is>
          <t>GISLAVED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29625-2024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45484</v>
      </c>
      <c r="E643" s="1" t="n">
        <v>46281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45777</v>
      </c>
      <c r="E644" s="1" t="n">
        <v>46281</v>
      </c>
      <c r="F644" t="inlineStr">
        <is>
          <t>JÖNKÖPINGS LÄN</t>
        </is>
      </c>
      <c r="G644" t="inlineStr">
        <is>
          <t>GISLAVED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46237</v>
      </c>
      <c r="E645" s="1" t="n">
        <v>46281</v>
      </c>
      <c r="F645" t="inlineStr">
        <is>
          <t>JÖNKÖPINGS LÄN</t>
        </is>
      </c>
      <c r="G645" t="inlineStr">
        <is>
          <t>GISLAVED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46281</v>
      </c>
      <c r="F646" t="inlineStr">
        <is>
          <t>JÖNKÖPINGS LÄN</t>
        </is>
      </c>
      <c r="G646" t="inlineStr">
        <is>
          <t>GISLAVED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32179-2026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46281</v>
      </c>
      <c r="F647" t="inlineStr">
        <is>
          <t>JÖNKÖPINGS LÄN</t>
        </is>
      </c>
      <c r="G647" t="inlineStr">
        <is>
          <t>GISLAVED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32178-2026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46237</v>
      </c>
      <c r="E648" s="1" t="n">
        <v>46281</v>
      </c>
      <c r="F648" t="inlineStr">
        <is>
          <t>JÖNKÖPINGS LÄN</t>
        </is>
      </c>
      <c r="G648" t="inlineStr">
        <is>
          <t>GISLAVED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45784</v>
      </c>
      <c r="E649" s="1" t="n">
        <v>46281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10386-2024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45365</v>
      </c>
      <c r="E650" s="1" t="n">
        <v>46281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21995-2025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45784</v>
      </c>
      <c r="E651" s="1" t="n">
        <v>46281</v>
      </c>
      <c r="F651" t="inlineStr">
        <is>
          <t>JÖNKÖPINGS LÄN</t>
        </is>
      </c>
      <c r="G651" t="inlineStr">
        <is>
          <t>GISLAVED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56177-2024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45624</v>
      </c>
      <c r="E652" s="1" t="n">
        <v>46281</v>
      </c>
      <c r="F652" t="inlineStr">
        <is>
          <t>JÖNKÖPINGS LÄN</t>
        </is>
      </c>
      <c r="G652" t="inlineStr">
        <is>
          <t>GISLAVED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46281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59804-2024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45639</v>
      </c>
      <c r="E654" s="1" t="n">
        <v>46281</v>
      </c>
      <c r="F654" t="inlineStr">
        <is>
          <t>JÖNKÖPINGS LÄN</t>
        </is>
      </c>
      <c r="G654" t="inlineStr">
        <is>
          <t>GISLAVED</t>
        </is>
      </c>
      <c r="I654" t="n">
        <v>11.1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45637</v>
      </c>
      <c r="E655" s="1" t="n">
        <v>46281</v>
      </c>
      <c r="F655" t="inlineStr">
        <is>
          <t>JÖNKÖPINGS LÄN</t>
        </is>
      </c>
      <c r="G655" t="inlineStr">
        <is>
          <t>GISLAVED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32110-2024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45511</v>
      </c>
      <c r="E656" s="1" t="n">
        <v>46281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45678</v>
      </c>
      <c r="E657" s="1" t="n">
        <v>46281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45488</v>
      </c>
      <c r="E658" s="1" t="n">
        <v>46281</v>
      </c>
      <c r="F658" t="inlineStr">
        <is>
          <t>JÖNKÖPINGS LÄN</t>
        </is>
      </c>
      <c r="G658" t="inlineStr">
        <is>
          <t>GISLAVED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52233-2022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44873</v>
      </c>
      <c r="E659" s="1" t="n">
        <v>46281</v>
      </c>
      <c r="F659" t="inlineStr">
        <is>
          <t>JÖNKÖPINGS LÄN</t>
        </is>
      </c>
      <c r="G659" t="inlineStr">
        <is>
          <t>GISLAVED</t>
        </is>
      </c>
      <c r="H659" t="inlineStr">
        <is>
          <t>Kyrkan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8481-2023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44977</v>
      </c>
      <c r="E660" s="1" t="n">
        <v>46281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41281-2024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46281</v>
      </c>
      <c r="F661" t="inlineStr">
        <is>
          <t>JÖNKÖPINGS LÄN</t>
        </is>
      </c>
      <c r="G661" t="inlineStr">
        <is>
          <t>GISLAVED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45481</v>
      </c>
      <c r="E662" s="1" t="n">
        <v>46281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23660-2025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45792</v>
      </c>
      <c r="E663" s="1" t="n">
        <v>46281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24122-2025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45796</v>
      </c>
      <c r="E664" s="1" t="n">
        <v>46281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39654-2024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45552</v>
      </c>
      <c r="E665" s="1" t="n">
        <v>46281</v>
      </c>
      <c r="F665" t="inlineStr">
        <is>
          <t>JÖNKÖPINGS LÄN</t>
        </is>
      </c>
      <c r="G665" t="inlineStr">
        <is>
          <t>GISLAVED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12152-2025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45729</v>
      </c>
      <c r="E666" s="1" t="n">
        <v>46281</v>
      </c>
      <c r="F666" t="inlineStr">
        <is>
          <t>JÖNKÖPINGS LÄN</t>
        </is>
      </c>
      <c r="G666" t="inlineStr">
        <is>
          <t>GISLAVED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12458-2025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45730</v>
      </c>
      <c r="E667" s="1" t="n">
        <v>46281</v>
      </c>
      <c r="F667" t="inlineStr">
        <is>
          <t>JÖNKÖPINGS LÄN</t>
        </is>
      </c>
      <c r="G667" t="inlineStr">
        <is>
          <t>GISLAVED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30602-2024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45494</v>
      </c>
      <c r="E668" s="1" t="n">
        <v>46281</v>
      </c>
      <c r="F668" t="inlineStr">
        <is>
          <t>JÖNKÖPINGS LÄN</t>
        </is>
      </c>
      <c r="G668" t="inlineStr">
        <is>
          <t>GISLAVED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11731-2025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45727</v>
      </c>
      <c r="E669" s="1" t="n">
        <v>46281</v>
      </c>
      <c r="F669" t="inlineStr">
        <is>
          <t>JÖNKÖPINGS LÄN</t>
        </is>
      </c>
      <c r="G669" t="inlineStr">
        <is>
          <t>GISLAVED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11912-2025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45728</v>
      </c>
      <c r="E670" s="1" t="n">
        <v>46281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11905-2025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45728</v>
      </c>
      <c r="E671" s="1" t="n">
        <v>46281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13322-2025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45735</v>
      </c>
      <c r="E672" s="1" t="n">
        <v>46281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46281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14317-2025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45740</v>
      </c>
      <c r="E674" s="1" t="n">
        <v>46281</v>
      </c>
      <c r="F674" t="inlineStr">
        <is>
          <t>JÖNKÖPINGS LÄN</t>
        </is>
      </c>
      <c r="G674" t="inlineStr">
        <is>
          <t>GISLAVED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13311-2025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45735</v>
      </c>
      <c r="E675" s="1" t="n">
        <v>46281</v>
      </c>
      <c r="F675" t="inlineStr">
        <is>
          <t>JÖNKÖPINGS LÄN</t>
        </is>
      </c>
      <c r="G675" t="inlineStr">
        <is>
          <t>GISLAVED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12743-2025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46281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24905-2025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45799</v>
      </c>
      <c r="E677" s="1" t="n">
        <v>46281</v>
      </c>
      <c r="F677" t="inlineStr">
        <is>
          <t>JÖNKÖPINGS LÄN</t>
        </is>
      </c>
      <c r="G677" t="inlineStr">
        <is>
          <t>GISLAVED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25966-2025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45804</v>
      </c>
      <c r="E678" s="1" t="n">
        <v>46281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25967-2025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45804</v>
      </c>
      <c r="E679" s="1" t="n">
        <v>46281</v>
      </c>
      <c r="F679" t="inlineStr">
        <is>
          <t>JÖNKÖPINGS LÄN</t>
        </is>
      </c>
      <c r="G679" t="inlineStr">
        <is>
          <t>GISLAVED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25498-2025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45803</v>
      </c>
      <c r="E680" s="1" t="n">
        <v>46281</v>
      </c>
      <c r="F680" t="inlineStr">
        <is>
          <t>JÖNKÖPINGS LÄN</t>
        </is>
      </c>
      <c r="G680" t="inlineStr">
        <is>
          <t>GISLAVED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26093-2025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45805</v>
      </c>
      <c r="E681" s="1" t="n">
        <v>46281</v>
      </c>
      <c r="F681" t="inlineStr">
        <is>
          <t>JÖNKÖPINGS LÄN</t>
        </is>
      </c>
      <c r="G681" t="inlineStr">
        <is>
          <t>GISLAVED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26625-2025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45810</v>
      </c>
      <c r="E682" s="1" t="n">
        <v>46281</v>
      </c>
      <c r="F682" t="inlineStr">
        <is>
          <t>JÖNKÖPINGS LÄN</t>
        </is>
      </c>
      <c r="G682" t="inlineStr">
        <is>
          <t>GISLAVED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54383-2024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45617</v>
      </c>
      <c r="E683" s="1" t="n">
        <v>46281</v>
      </c>
      <c r="F683" t="inlineStr">
        <is>
          <t>JÖNKÖPINGS LÄN</t>
        </is>
      </c>
      <c r="G683" t="inlineStr">
        <is>
          <t>GISLAVED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63263-2023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45273</v>
      </c>
      <c r="E684" s="1" t="n">
        <v>46281</v>
      </c>
      <c r="F684" t="inlineStr">
        <is>
          <t>JÖNKÖPINGS LÄN</t>
        </is>
      </c>
      <c r="G684" t="inlineStr">
        <is>
          <t>GISLAVED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47729-2023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45198</v>
      </c>
      <c r="E685" s="1" t="n">
        <v>46281</v>
      </c>
      <c r="F685" t="inlineStr">
        <is>
          <t>JÖNKÖPINGS LÄN</t>
        </is>
      </c>
      <c r="G685" t="inlineStr">
        <is>
          <t>GISLAVED</t>
        </is>
      </c>
      <c r="H685" t="inlineStr">
        <is>
          <t>Kyrkan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26626-2025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45810</v>
      </c>
      <c r="E686" s="1" t="n">
        <v>46281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27136-2025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45811</v>
      </c>
      <c r="E687" s="1" t="n">
        <v>46281</v>
      </c>
      <c r="F687" t="inlineStr">
        <is>
          <t>JÖNKÖPINGS LÄN</t>
        </is>
      </c>
      <c r="G687" t="inlineStr">
        <is>
          <t>GISLAVED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27372-2025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45812</v>
      </c>
      <c r="E688" s="1" t="n">
        <v>46281</v>
      </c>
      <c r="F688" t="inlineStr">
        <is>
          <t>JÖNKÖPINGS LÄN</t>
        </is>
      </c>
      <c r="G688" t="inlineStr">
        <is>
          <t>GISLAVED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27333-2025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45812</v>
      </c>
      <c r="E689" s="1" t="n">
        <v>46281</v>
      </c>
      <c r="F689" t="inlineStr">
        <is>
          <t>JÖNKÖPINGS LÄN</t>
        </is>
      </c>
      <c r="G689" t="inlineStr">
        <is>
          <t>GISLAVED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27626-2025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45813</v>
      </c>
      <c r="E690" s="1" t="n">
        <v>46281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27598-2025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46281</v>
      </c>
      <c r="F691" t="inlineStr">
        <is>
          <t>JÖNKÖPINGS LÄN</t>
        </is>
      </c>
      <c r="G691" t="inlineStr">
        <is>
          <t>GISLAVED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16595-2025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45753</v>
      </c>
      <c r="E692" s="1" t="n">
        <v>46281</v>
      </c>
      <c r="F692" t="inlineStr">
        <is>
          <t>JÖNKÖPINGS LÄN</t>
        </is>
      </c>
      <c r="G692" t="inlineStr">
        <is>
          <t>GISLAVED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45748</v>
      </c>
      <c r="E693" s="1" t="n">
        <v>46281</v>
      </c>
      <c r="F693" t="inlineStr">
        <is>
          <t>JÖNKÖPINGS LÄN</t>
        </is>
      </c>
      <c r="G693" t="inlineStr">
        <is>
          <t>GISLAVED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47725-2023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45198</v>
      </c>
      <c r="E694" s="1" t="n">
        <v>46281</v>
      </c>
      <c r="F694" t="inlineStr">
        <is>
          <t>JÖNKÖPINGS LÄN</t>
        </is>
      </c>
      <c r="G694" t="inlineStr">
        <is>
          <t>GISLAVED</t>
        </is>
      </c>
      <c r="H694" t="inlineStr">
        <is>
          <t>Kyrkan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45819</v>
      </c>
      <c r="E695" s="1" t="n">
        <v>46281</v>
      </c>
      <c r="F695" t="inlineStr">
        <is>
          <t>JÖNKÖPINGS LÄN</t>
        </is>
      </c>
      <c r="G695" t="inlineStr">
        <is>
          <t>GISLAVED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28810-2025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45820</v>
      </c>
      <c r="E696" s="1" t="n">
        <v>46281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29842-2025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45826</v>
      </c>
      <c r="E697" s="1" t="n">
        <v>46281</v>
      </c>
      <c r="F697" t="inlineStr">
        <is>
          <t>JÖNKÖPINGS LÄN</t>
        </is>
      </c>
      <c r="G697" t="inlineStr">
        <is>
          <t>GISLAVED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29715-2025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45825</v>
      </c>
      <c r="E698" s="1" t="n">
        <v>46281</v>
      </c>
      <c r="F698" t="inlineStr">
        <is>
          <t>JÖNKÖPINGS LÄN</t>
        </is>
      </c>
      <c r="G698" t="inlineStr">
        <is>
          <t>GISLAVED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29720-2025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46281</v>
      </c>
      <c r="F699" t="inlineStr">
        <is>
          <t>JÖNKÖPINGS LÄN</t>
        </is>
      </c>
      <c r="G699" t="inlineStr">
        <is>
          <t>GISLAVED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29688-2025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45825</v>
      </c>
      <c r="E700" s="1" t="n">
        <v>46281</v>
      </c>
      <c r="F700" t="inlineStr">
        <is>
          <t>JÖNKÖPINGS LÄN</t>
        </is>
      </c>
      <c r="G700" t="inlineStr">
        <is>
          <t>GISLAVED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29717-2025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45825</v>
      </c>
      <c r="E701" s="1" t="n">
        <v>46281</v>
      </c>
      <c r="F701" t="inlineStr">
        <is>
          <t>JÖNKÖPINGS LÄN</t>
        </is>
      </c>
      <c r="G701" t="inlineStr">
        <is>
          <t>GISLAVED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30543-2025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45831</v>
      </c>
      <c r="E702" s="1" t="n">
        <v>46281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30519-2025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46281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45831</v>
      </c>
      <c r="E704" s="1" t="n">
        <v>46281</v>
      </c>
      <c r="F704" t="inlineStr">
        <is>
          <t>JÖNKÖPINGS LÄN</t>
        </is>
      </c>
      <c r="G704" t="inlineStr">
        <is>
          <t>GISLAVED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45831</v>
      </c>
      <c r="E705" s="1" t="n">
        <v>46281</v>
      </c>
      <c r="F705" t="inlineStr">
        <is>
          <t>JÖNKÖPINGS LÄN</t>
        </is>
      </c>
      <c r="G705" t="inlineStr">
        <is>
          <t>GISLAVED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30517-2025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45831</v>
      </c>
      <c r="E706" s="1" t="n">
        <v>46281</v>
      </c>
      <c r="F706" t="inlineStr">
        <is>
          <t>JÖNKÖPINGS LÄN</t>
        </is>
      </c>
      <c r="G706" t="inlineStr">
        <is>
          <t>GISLAVED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30539-2025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45831</v>
      </c>
      <c r="E707" s="1" t="n">
        <v>46281</v>
      </c>
      <c r="F707" t="inlineStr">
        <is>
          <t>JÖNKÖPINGS LÄN</t>
        </is>
      </c>
      <c r="G707" t="inlineStr">
        <is>
          <t>GISLAVED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46281</v>
      </c>
      <c r="F708" t="inlineStr">
        <is>
          <t>JÖNKÖPINGS LÄN</t>
        </is>
      </c>
      <c r="G708" t="inlineStr">
        <is>
          <t>GISLAVED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16717-2025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45754</v>
      </c>
      <c r="E709" s="1" t="n">
        <v>46281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36010-2025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45863</v>
      </c>
      <c r="E710" s="1" t="n">
        <v>46281</v>
      </c>
      <c r="F710" t="inlineStr">
        <is>
          <t>JÖNKÖPINGS LÄN</t>
        </is>
      </c>
      <c r="G710" t="inlineStr">
        <is>
          <t>GISLAVED</t>
        </is>
      </c>
      <c r="H710" t="inlineStr">
        <is>
          <t>Sveaskog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23598-2022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44721</v>
      </c>
      <c r="E711" s="1" t="n">
        <v>46281</v>
      </c>
      <c r="F711" t="inlineStr">
        <is>
          <t>JÖNKÖPINGS LÄN</t>
        </is>
      </c>
      <c r="G711" t="inlineStr">
        <is>
          <t>GISLAVED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46281</v>
      </c>
      <c r="F712" t="inlineStr">
        <is>
          <t>JÖNKÖPINGS LÄN</t>
        </is>
      </c>
      <c r="G712" t="inlineStr">
        <is>
          <t>GISLAVED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25758-2024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45465</v>
      </c>
      <c r="E713" s="1" t="n">
        <v>46281</v>
      </c>
      <c r="F713" t="inlineStr">
        <is>
          <t>JÖNKÖPINGS LÄN</t>
        </is>
      </c>
      <c r="G713" t="inlineStr">
        <is>
          <t>GISLAVED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33274-2024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45518</v>
      </c>
      <c r="E714" s="1" t="n">
        <v>46281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10783-2025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45722</v>
      </c>
      <c r="E715" s="1" t="n">
        <v>46281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25757-2024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45465</v>
      </c>
      <c r="E716" s="1" t="n">
        <v>46281</v>
      </c>
      <c r="F716" t="inlineStr">
        <is>
          <t>JÖNKÖPINGS LÄN</t>
        </is>
      </c>
      <c r="G716" t="inlineStr">
        <is>
          <t>GISLAVED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52993-2024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45611</v>
      </c>
      <c r="E717" s="1" t="n">
        <v>46281</v>
      </c>
      <c r="F717" t="inlineStr">
        <is>
          <t>JÖNKÖPINGS LÄN</t>
        </is>
      </c>
      <c r="G717" t="inlineStr">
        <is>
          <t>GISLAVED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34995-2025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45849</v>
      </c>
      <c r="E718" s="1" t="n">
        <v>46281</v>
      </c>
      <c r="F718" t="inlineStr">
        <is>
          <t>JÖNKÖPINGS LÄN</t>
        </is>
      </c>
      <c r="G718" t="inlineStr">
        <is>
          <t>GISLAVED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51929-2024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45607</v>
      </c>
      <c r="E719" s="1" t="n">
        <v>46281</v>
      </c>
      <c r="F719" t="inlineStr">
        <is>
          <t>JÖNKÖPINGS LÄN</t>
        </is>
      </c>
      <c r="G719" t="inlineStr">
        <is>
          <t>GISLAVED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14588-2024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45395</v>
      </c>
      <c r="E720" s="1" t="n">
        <v>46281</v>
      </c>
      <c r="F720" t="inlineStr">
        <is>
          <t>JÖNKÖPINGS LÄN</t>
        </is>
      </c>
      <c r="G720" t="inlineStr">
        <is>
          <t>GISLAVED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14589-2024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45395</v>
      </c>
      <c r="E721" s="1" t="n">
        <v>46281</v>
      </c>
      <c r="F721" t="inlineStr">
        <is>
          <t>JÖNKÖPINGS LÄN</t>
        </is>
      </c>
      <c r="G721" t="inlineStr">
        <is>
          <t>GISLAVED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7224-2023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44970</v>
      </c>
      <c r="E722" s="1" t="n">
        <v>46281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25752-2024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45465</v>
      </c>
      <c r="E723" s="1" t="n">
        <v>46281</v>
      </c>
      <c r="F723" t="inlineStr">
        <is>
          <t>JÖNKÖPINGS LÄN</t>
        </is>
      </c>
      <c r="G723" t="inlineStr">
        <is>
          <t>GISLAVED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25755-2024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45465</v>
      </c>
      <c r="E724" s="1" t="n">
        <v>46281</v>
      </c>
      <c r="F724" t="inlineStr">
        <is>
          <t>JÖNKÖPINGS LÄN</t>
        </is>
      </c>
      <c r="G724" t="inlineStr">
        <is>
          <t>GISLAVED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30923-2024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45498</v>
      </c>
      <c r="E725" s="1" t="n">
        <v>46281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10539-2025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45721</v>
      </c>
      <c r="E726" s="1" t="n">
        <v>46281</v>
      </c>
      <c r="F726" t="inlineStr">
        <is>
          <t>JÖNKÖPINGS LÄN</t>
        </is>
      </c>
      <c r="G726" t="inlineStr">
        <is>
          <t>GISLAVED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23722-2023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45077</v>
      </c>
      <c r="E727" s="1" t="n">
        <v>46281</v>
      </c>
      <c r="F727" t="inlineStr">
        <is>
          <t>JÖNKÖPINGS LÄN</t>
        </is>
      </c>
      <c r="G727" t="inlineStr">
        <is>
          <t>GISLAVED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26572-2022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44739</v>
      </c>
      <c r="E728" s="1" t="n">
        <v>46281</v>
      </c>
      <c r="F728" t="inlineStr">
        <is>
          <t>JÖNKÖPINGS LÄN</t>
        </is>
      </c>
      <c r="G728" t="inlineStr">
        <is>
          <t>GISLAVED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44958</v>
      </c>
      <c r="E729" s="1" t="n">
        <v>46281</v>
      </c>
      <c r="F729" t="inlineStr">
        <is>
          <t>JÖNKÖPINGS LÄN</t>
        </is>
      </c>
      <c r="G729" t="inlineStr">
        <is>
          <t>GISLAVED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60653-2021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44496</v>
      </c>
      <c r="E730" s="1" t="n">
        <v>46281</v>
      </c>
      <c r="F730" t="inlineStr">
        <is>
          <t>JÖNKÖPINGS LÄN</t>
        </is>
      </c>
      <c r="G730" t="inlineStr">
        <is>
          <t>GISLAVED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59747-2022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46281</v>
      </c>
      <c r="F731" t="inlineStr">
        <is>
          <t>JÖNKÖPINGS LÄN</t>
        </is>
      </c>
      <c r="G731" t="inlineStr">
        <is>
          <t>GISLAVED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53715-2021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44469</v>
      </c>
      <c r="E732" s="1" t="n">
        <v>46281</v>
      </c>
      <c r="F732" t="inlineStr">
        <is>
          <t>JÖNKÖPINGS LÄN</t>
        </is>
      </c>
      <c r="G732" t="inlineStr">
        <is>
          <t>GISLAVED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57243-2023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45245</v>
      </c>
      <c r="E733" s="1" t="n">
        <v>46281</v>
      </c>
      <c r="F733" t="inlineStr">
        <is>
          <t>JÖNKÖPINGS LÄN</t>
        </is>
      </c>
      <c r="G733" t="inlineStr">
        <is>
          <t>GISLAVED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44573-2023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45189</v>
      </c>
      <c r="E734" s="1" t="n">
        <v>46281</v>
      </c>
      <c r="F734" t="inlineStr">
        <is>
          <t>JÖNKÖPINGS LÄN</t>
        </is>
      </c>
      <c r="G734" t="inlineStr">
        <is>
          <t>GISLAVED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45395</v>
      </c>
      <c r="E735" s="1" t="n">
        <v>46281</v>
      </c>
      <c r="F735" t="inlineStr">
        <is>
          <t>JÖNKÖPINGS LÄN</t>
        </is>
      </c>
      <c r="G735" t="inlineStr">
        <is>
          <t>GISLAVED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14587-2024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45395</v>
      </c>
      <c r="E736" s="1" t="n">
        <v>46281</v>
      </c>
      <c r="F736" t="inlineStr">
        <is>
          <t>JÖNKÖPINGS LÄN</t>
        </is>
      </c>
      <c r="G736" t="inlineStr">
        <is>
          <t>GISLAVED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36663-2025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45873</v>
      </c>
      <c r="E737" s="1" t="n">
        <v>46281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41625-2023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45175</v>
      </c>
      <c r="E738" s="1" t="n">
        <v>46281</v>
      </c>
      <c r="F738" t="inlineStr">
        <is>
          <t>JÖNKÖPINGS LÄN</t>
        </is>
      </c>
      <c r="G738" t="inlineStr">
        <is>
          <t>GISLAVED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37811-2022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44810</v>
      </c>
      <c r="E739" s="1" t="n">
        <v>46281</v>
      </c>
      <c r="F739" t="inlineStr">
        <is>
          <t>JÖNKÖPINGS LÄN</t>
        </is>
      </c>
      <c r="G739" t="inlineStr">
        <is>
          <t>GISLAVED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22168-2022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44712</v>
      </c>
      <c r="E740" s="1" t="n">
        <v>46281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22173-2022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44712</v>
      </c>
      <c r="E741" s="1" t="n">
        <v>46281</v>
      </c>
      <c r="F741" t="inlineStr">
        <is>
          <t>JÖNKÖPINGS LÄN</t>
        </is>
      </c>
      <c r="G741" t="inlineStr">
        <is>
          <t>GISLAVED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22176-2022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44712</v>
      </c>
      <c r="E742" s="1" t="n">
        <v>46281</v>
      </c>
      <c r="F742" t="inlineStr">
        <is>
          <t>JÖNKÖPINGS LÄN</t>
        </is>
      </c>
      <c r="G742" t="inlineStr">
        <is>
          <t>GISLAVED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46281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46281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46281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46281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46281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46281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46281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46281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46281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46281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46281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46281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46281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46281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46281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46281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46281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46281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46281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46281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46281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46281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46281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46281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46281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46281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46281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46281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46281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46281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46281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46281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46281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46281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2026-09-16T02:04:52Z</dcterms:created>
  <dcterms:modified xmlns:dcterms="http://purl.org/dc/terms/" xmlns:xsi="http://www.w3.org/2001/XMLSchema-instance" xsi:type="dcterms:W3CDTF">2026-09-16T02:04:53Z</dcterms:modified>
</cp:coreProperties>
</file>