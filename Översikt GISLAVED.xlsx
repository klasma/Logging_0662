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46313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46313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46313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46313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46313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46313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46313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46313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46313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46313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46313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45699</v>
      </c>
      <c r="E16" s="1" t="n">
        <v>46313</v>
      </c>
      <c r="F16" t="inlineStr">
        <is>
          <t>JÖNKÖPINGS LÄN</t>
        </is>
      </c>
      <c r="G16" t="inlineStr">
        <is>
          <t>GISLAVED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HYPERLINK("https://klasma.github.io/Logging_0662/artfynd/A 6545-2025 artfynd.xlsx", "A 6545-2025")</f>
        <v/>
      </c>
      <c r="X16">
        <f>HYPERLINK("https://klasma.github.io/Logging_0662/kartor/A 6545-2025 karta.png", "A 6545-2025")</f>
        <v/>
      </c>
      <c r="Y16">
        <f>HYPERLINK("https://klasma.github.io/Logging_0662/kartor_geotiff/A 6545-2025 georefererad karta.tif", "A 6545-2025")</f>
        <v/>
      </c>
      <c r="AA16">
        <f>HYPERLINK("https://klasma.github.io/Logging_0662/klagomål/A 6545-2025 FSC-klagomål.docx", "A 6545-2025")</f>
        <v/>
      </c>
      <c r="AB16">
        <f>HYPERLINK("https://klasma.github.io/Logging_0662/klagomålsmail/A 6545-2025 FSC-klagomål mail.docx", "A 6545-2025")</f>
        <v/>
      </c>
      <c r="AC16">
        <f>HYPERLINK("https://klasma.github.io/Logging_0662/tillsyn/A 6545-2025 tillsynsbegäran.docx", "A 6545-2025")</f>
        <v/>
      </c>
      <c r="AD16">
        <f>HYPERLINK("https://klasma.github.io/Logging_0662/tillsynsmail/A 6545-2025 tillsynsbegäran mail.docx", "A 6545-2025")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46313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46313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46313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28582-2022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46313</v>
      </c>
      <c r="F21" t="inlineStr">
        <is>
          <t>JÖNKÖPINGS LÄN</t>
        </is>
      </c>
      <c r="G21" t="inlineStr">
        <is>
          <t>GISLAVED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HYPERLINK("https://klasma.github.io/Logging_0662/artfynd/A 28582-2022 artfynd.xlsx", "A 28582-2022")</f>
        <v/>
      </c>
      <c r="X21">
        <f>HYPERLINK("https://klasma.github.io/Logging_0662/kartor/A 28582-2022 karta.png", "A 28582-2022")</f>
        <v/>
      </c>
      <c r="Y21">
        <f>HYPERLINK("https://klasma.github.io/Logging_0662/kartor_geotiff/A 28582-2022 georefererad karta.tif", "A 28582-2022")</f>
        <v/>
      </c>
      <c r="AA21">
        <f>HYPERLINK("https://klasma.github.io/Logging_0662/klagomål/A 28582-2022 FSC-klagomål.docx", "A 28582-2022")</f>
        <v/>
      </c>
      <c r="AB21">
        <f>HYPERLINK("https://klasma.github.io/Logging_0662/klagomålsmail/A 28582-2022 FSC-klagomål mail.docx", "A 28582-2022")</f>
        <v/>
      </c>
      <c r="AC21">
        <f>HYPERLINK("https://klasma.github.io/Logging_0662/tillsyn/A 28582-2022 tillsynsbegäran.docx", "A 28582-2022")</f>
        <v/>
      </c>
      <c r="AD21">
        <f>HYPERLINK("https://klasma.github.io/Logging_0662/tillsynsmail/A 28582-2022 tillsynsbegäran mail.docx", "A 28582-2022")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46313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30362-2022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44760</v>
      </c>
      <c r="E23" s="1" t="n">
        <v>46313</v>
      </c>
      <c r="F23" t="inlineStr">
        <is>
          <t>JÖNKÖPINGS LÄN</t>
        </is>
      </c>
      <c r="G23" t="inlineStr">
        <is>
          <t>GISLAVED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HYPERLINK("https://klasma.github.io/Logging_0662/artfynd/A 30362-2022 artfynd.xlsx", "A 30362-2022")</f>
        <v/>
      </c>
      <c r="X23">
        <f>HYPERLINK("https://klasma.github.io/Logging_0662/kartor/A 30362-2022 karta.png", "A 30362-2022")</f>
        <v/>
      </c>
      <c r="Y23">
        <f>HYPERLINK("https://klasma.github.io/Logging_0662/kartor_geotiff/A 30362-2022 georefererad karta.tif", "A 30362-2022")</f>
        <v/>
      </c>
      <c r="Z23">
        <f>HYPERLINK("https://klasma.github.io/Logging_0662/knärot/A 30362-2022 karta knärot.png", "A 30362-2022")</f>
        <v/>
      </c>
      <c r="AA23">
        <f>HYPERLINK("https://klasma.github.io/Logging_0662/klagomål/A 30362-2022 FSC-klagomål.docx", "A 30362-2022")</f>
        <v/>
      </c>
      <c r="AB23">
        <f>HYPERLINK("https://klasma.github.io/Logging_0662/klagomålsmail/A 30362-2022 FSC-klagomål mail.docx", "A 30362-2022")</f>
        <v/>
      </c>
      <c r="AC23">
        <f>HYPERLINK("https://klasma.github.io/Logging_0662/tillsyn/A 30362-2022 tillsynsbegäran.docx", "A 30362-2022")</f>
        <v/>
      </c>
      <c r="AD23">
        <f>HYPERLINK("https://klasma.github.io/Logging_0662/tillsynsmail/A 30362-2022 tillsynsbegäran mail.docx", "A 30362-2022")</f>
        <v/>
      </c>
    </row>
    <row r="24" ht="15" customHeight="1">
      <c r="A24" t="inlineStr">
        <is>
          <t>A 40023-2024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45553</v>
      </c>
      <c r="E24" s="1" t="n">
        <v>46313</v>
      </c>
      <c r="F24" t="inlineStr">
        <is>
          <t>JÖNKÖPINGS LÄN</t>
        </is>
      </c>
      <c r="G24" t="inlineStr">
        <is>
          <t>GISLAVED</t>
        </is>
      </c>
      <c r="I24" t="n">
        <v>9.4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Kungsörn</t>
        </is>
      </c>
      <c r="W24">
        <f>HYPERLINK("https://klasma.github.io/Logging_0662/artfynd/A 40023-2024 artfynd.xlsx", "A 40023-2024")</f>
        <v/>
      </c>
      <c r="X24">
        <f>HYPERLINK("https://klasma.github.io/Logging_0662/kartor/A 40023-2024 karta.png", "A 40023-2024")</f>
        <v/>
      </c>
      <c r="Y24">
        <f>HYPERLINK("https://klasma.github.io/Logging_0662/kartor_geotiff/A 40023-2024 georefererad karta.tif", "A 40023-2024")</f>
        <v/>
      </c>
      <c r="AA24">
        <f>HYPERLINK("https://klasma.github.io/Logging_0662/klagomål/A 40023-2024 FSC-klagomål.docx", "A 40023-2024")</f>
        <v/>
      </c>
      <c r="AB24">
        <f>HYPERLINK("https://klasma.github.io/Logging_0662/klagomålsmail/A 40023-2024 FSC-klagomål mail.docx", "A 40023-2024")</f>
        <v/>
      </c>
      <c r="AC24">
        <f>HYPERLINK("https://klasma.github.io/Logging_0662/tillsyn/A 40023-2024 tillsynsbegäran.docx", "A 40023-2024")</f>
        <v/>
      </c>
      <c r="AD24">
        <f>HYPERLINK("https://klasma.github.io/Logging_0662/tillsynsmail/A 40023-2024 tillsynsbegäran mail.docx", "A 40023-2024")</f>
        <v/>
      </c>
      <c r="AE24">
        <f>HYPERLINK("https://klasma.github.io/Logging_0662/fåglar/A 40023-2024 prioriterade fågelarter.docx", "A 40023-2024")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46313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46313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46313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46313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46313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46313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46313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46313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46313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46313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46313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46313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46313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46313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46313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46313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46313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46313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46313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46313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46313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46313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55302-2022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46313</v>
      </c>
      <c r="F48" t="inlineStr">
        <is>
          <t>JÖNKÖPINGS LÄN</t>
        </is>
      </c>
      <c r="G48" t="inlineStr">
        <is>
          <t>GISLAVED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46313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46313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46313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46313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44495</v>
      </c>
      <c r="E53" s="1" t="n">
        <v>46313</v>
      </c>
      <c r="F53" t="inlineStr">
        <is>
          <t>JÖNKÖPINGS LÄN</t>
        </is>
      </c>
      <c r="G53" t="inlineStr">
        <is>
          <t>GISLAVED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46313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46313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46313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46313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46313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46313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46313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46313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46313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46313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46313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46313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46313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46313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46313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46313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46313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46313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46313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46313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46313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46313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46313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46313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46313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46313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46313</v>
      </c>
      <c r="F80" t="inlineStr">
        <is>
          <t>JÖNKÖPINGS LÄN</t>
        </is>
      </c>
      <c r="G80" t="inlineStr">
        <is>
          <t>GISLAVED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46313</v>
      </c>
      <c r="F81" t="inlineStr">
        <is>
          <t>JÖNKÖPINGS LÄN</t>
        </is>
      </c>
      <c r="G81" t="inlineStr">
        <is>
          <t>GISLAVED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46313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46313</v>
      </c>
      <c r="F83" t="inlineStr">
        <is>
          <t>JÖNKÖPINGS LÄN</t>
        </is>
      </c>
      <c r="G83" t="inlineStr">
        <is>
          <t>GISLAVED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46313</v>
      </c>
      <c r="F84" t="inlineStr">
        <is>
          <t>JÖNKÖPINGS LÄN</t>
        </is>
      </c>
      <c r="G84" t="inlineStr">
        <is>
          <t>GISLAVED</t>
        </is>
      </c>
      <c r="H84" t="inlineStr">
        <is>
          <t>Kyrkan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46313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46313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46313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46313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45585</v>
      </c>
      <c r="E89" s="1" t="n">
        <v>46313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46313</v>
      </c>
      <c r="F90" t="inlineStr">
        <is>
          <t>JÖNKÖPINGS LÄN</t>
        </is>
      </c>
      <c r="G90" t="inlineStr">
        <is>
          <t>GISLAVED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46313</v>
      </c>
      <c r="F91" t="inlineStr">
        <is>
          <t>JÖNKÖPINGS LÄN</t>
        </is>
      </c>
      <c r="G91" t="inlineStr">
        <is>
          <t>GISLAVED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46313</v>
      </c>
      <c r="F92" t="inlineStr">
        <is>
          <t>JÖNKÖPINGS LÄN</t>
        </is>
      </c>
      <c r="G92" t="inlineStr">
        <is>
          <t>GISLAVED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46313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46313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46313</v>
      </c>
      <c r="F95" t="inlineStr">
        <is>
          <t>JÖNKÖPINGS LÄN</t>
        </is>
      </c>
      <c r="G95" t="inlineStr">
        <is>
          <t>GISLAVED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46313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46313</v>
      </c>
      <c r="F97" t="inlineStr">
        <is>
          <t>JÖNKÖPINGS LÄN</t>
        </is>
      </c>
      <c r="G97" t="inlineStr">
        <is>
          <t>GISLAVED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46313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46313</v>
      </c>
      <c r="F99" t="inlineStr">
        <is>
          <t>JÖNKÖPINGS LÄN</t>
        </is>
      </c>
      <c r="G99" t="inlineStr">
        <is>
          <t>GISLAVED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45680</v>
      </c>
      <c r="E100" s="1" t="n">
        <v>46313</v>
      </c>
      <c r="F100" t="inlineStr">
        <is>
          <t>JÖNKÖPINGS LÄN</t>
        </is>
      </c>
      <c r="G100" t="inlineStr">
        <is>
          <t>GISLAVED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46313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46313</v>
      </c>
      <c r="F102" t="inlineStr">
        <is>
          <t>JÖNKÖPINGS LÄN</t>
        </is>
      </c>
      <c r="G102" t="inlineStr">
        <is>
          <t>GISLAVED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45503</v>
      </c>
      <c r="E103" s="1" t="n">
        <v>46313</v>
      </c>
      <c r="F103" t="inlineStr">
        <is>
          <t>JÖNKÖPINGS LÄN</t>
        </is>
      </c>
      <c r="G103" t="inlineStr">
        <is>
          <t>GISLAVED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46313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46313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45404</v>
      </c>
      <c r="E106" s="1" t="n">
        <v>46313</v>
      </c>
      <c r="F106" t="inlineStr">
        <is>
          <t>JÖNKÖPINGS LÄN</t>
        </is>
      </c>
      <c r="G106" t="inlineStr">
        <is>
          <t>GISLAVED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46313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44951</v>
      </c>
      <c r="E108" s="1" t="n">
        <v>46313</v>
      </c>
      <c r="F108" t="inlineStr">
        <is>
          <t>JÖNKÖPINGS LÄN</t>
        </is>
      </c>
      <c r="G108" t="inlineStr">
        <is>
          <t>GISLAVED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44558</v>
      </c>
      <c r="E109" s="1" t="n">
        <v>46313</v>
      </c>
      <c r="F109" t="inlineStr">
        <is>
          <t>JÖNKÖPINGS LÄN</t>
        </is>
      </c>
      <c r="G109" t="inlineStr">
        <is>
          <t>GISLAVED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46313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32989-2024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45517</v>
      </c>
      <c r="E111" s="1" t="n">
        <v>46313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44952</v>
      </c>
      <c r="E112" s="1" t="n">
        <v>46313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46313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46313</v>
      </c>
      <c r="F114" t="inlineStr">
        <is>
          <t>JÖNKÖPINGS LÄN</t>
        </is>
      </c>
      <c r="G114" t="inlineStr">
        <is>
          <t>GISLAVED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46313</v>
      </c>
      <c r="F115" t="inlineStr">
        <is>
          <t>JÖNKÖPINGS LÄN</t>
        </is>
      </c>
      <c r="G115" t="inlineStr">
        <is>
          <t>GISLAVED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45482</v>
      </c>
      <c r="E116" s="1" t="n">
        <v>46313</v>
      </c>
      <c r="F116" t="inlineStr">
        <is>
          <t>JÖNKÖPINGS LÄN</t>
        </is>
      </c>
      <c r="G116" t="inlineStr">
        <is>
          <t>GISLAVED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46313</v>
      </c>
      <c r="F117" t="inlineStr">
        <is>
          <t>JÖNKÖPINGS LÄN</t>
        </is>
      </c>
      <c r="G117" t="inlineStr">
        <is>
          <t>GISLAVED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46313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46313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46313</v>
      </c>
      <c r="F120" t="inlineStr">
        <is>
          <t>JÖNKÖPINGS LÄN</t>
        </is>
      </c>
      <c r="G120" t="inlineStr">
        <is>
          <t>GISLAVED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44594</v>
      </c>
      <c r="E121" s="1" t="n">
        <v>46313</v>
      </c>
      <c r="F121" t="inlineStr">
        <is>
          <t>JÖNKÖPINGS LÄN</t>
        </is>
      </c>
      <c r="G121" t="inlineStr">
        <is>
          <t>GISLAVED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46313</v>
      </c>
      <c r="F122" t="inlineStr">
        <is>
          <t>JÖNKÖPINGS LÄN</t>
        </is>
      </c>
      <c r="G122" t="inlineStr">
        <is>
          <t>GISLAVED</t>
        </is>
      </c>
      <c r="H122" t="inlineStr">
        <is>
          <t>Kommuner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44931</v>
      </c>
      <c r="E123" s="1" t="n">
        <v>46313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73908-2021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44553</v>
      </c>
      <c r="E124" s="1" t="n">
        <v>46313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44883</v>
      </c>
      <c r="E125" s="1" t="n">
        <v>46313</v>
      </c>
      <c r="F125" t="inlineStr">
        <is>
          <t>JÖNKÖPINGS LÄN</t>
        </is>
      </c>
      <c r="G125" t="inlineStr">
        <is>
          <t>GISLAVED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46313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45511</v>
      </c>
      <c r="E127" s="1" t="n">
        <v>46313</v>
      </c>
      <c r="F127" t="inlineStr">
        <is>
          <t>JÖNKÖPINGS LÄN</t>
        </is>
      </c>
      <c r="G127" t="inlineStr">
        <is>
          <t>GISLAVED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44986</v>
      </c>
      <c r="E128" s="1" t="n">
        <v>46313</v>
      </c>
      <c r="F128" t="inlineStr">
        <is>
          <t>JÖNKÖPINGS LÄN</t>
        </is>
      </c>
      <c r="G128" t="inlineStr">
        <is>
          <t>GISLAVED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46313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46313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46313</v>
      </c>
      <c r="F131" t="inlineStr">
        <is>
          <t>JÖNKÖPINGS LÄN</t>
        </is>
      </c>
      <c r="G131" t="inlineStr">
        <is>
          <t>GISLAVED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44923</v>
      </c>
      <c r="E132" s="1" t="n">
        <v>46313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44657</v>
      </c>
      <c r="E133" s="1" t="n">
        <v>46313</v>
      </c>
      <c r="F133" t="inlineStr">
        <is>
          <t>JÖNKÖPINGS LÄN</t>
        </is>
      </c>
      <c r="G133" t="inlineStr">
        <is>
          <t>GISLAVED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46313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46313</v>
      </c>
      <c r="F135" t="inlineStr">
        <is>
          <t>JÖNKÖPINGS LÄN</t>
        </is>
      </c>
      <c r="G135" t="inlineStr">
        <is>
          <t>GISLAVED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46313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46313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46313</v>
      </c>
      <c r="F138" t="inlineStr">
        <is>
          <t>JÖNKÖPINGS LÄN</t>
        </is>
      </c>
      <c r="G138" t="inlineStr">
        <is>
          <t>GISLAVED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46313</v>
      </c>
      <c r="F139" t="inlineStr">
        <is>
          <t>JÖNKÖPINGS LÄN</t>
        </is>
      </c>
      <c r="G139" t="inlineStr">
        <is>
          <t>GISLAVED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46313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46313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46313</v>
      </c>
      <c r="F142" t="inlineStr">
        <is>
          <t>JÖNKÖPINGS LÄN</t>
        </is>
      </c>
      <c r="G142" t="inlineStr">
        <is>
          <t>GISLAVED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46313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46313</v>
      </c>
      <c r="F144" t="inlineStr">
        <is>
          <t>JÖNKÖPINGS LÄN</t>
        </is>
      </c>
      <c r="G144" t="inlineStr">
        <is>
          <t>GISLAVED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46313</v>
      </c>
      <c r="F145" t="inlineStr">
        <is>
          <t>JÖNKÖPINGS LÄN</t>
        </is>
      </c>
      <c r="G145" t="inlineStr">
        <is>
          <t>GISLAVED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46313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46313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45235</v>
      </c>
      <c r="E148" s="1" t="n">
        <v>46313</v>
      </c>
      <c r="F148" t="inlineStr">
        <is>
          <t>JÖNKÖPINGS LÄN</t>
        </is>
      </c>
      <c r="G148" t="inlineStr">
        <is>
          <t>GISLAVED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46313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46313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46313</v>
      </c>
      <c r="F151" t="inlineStr">
        <is>
          <t>JÖNKÖPINGS LÄN</t>
        </is>
      </c>
      <c r="G151" t="inlineStr">
        <is>
          <t>GISLAVED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46313</v>
      </c>
      <c r="F152" t="inlineStr">
        <is>
          <t>JÖNKÖPINGS LÄN</t>
        </is>
      </c>
      <c r="G152" t="inlineStr">
        <is>
          <t>GISLAVED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65546-2021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46313</v>
      </c>
      <c r="F153" t="inlineStr">
        <is>
          <t>JÖNKÖPINGS LÄN</t>
        </is>
      </c>
      <c r="G153" t="inlineStr">
        <is>
          <t>GISLAVED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46313</v>
      </c>
      <c r="F154" t="inlineStr">
        <is>
          <t>JÖNKÖPINGS LÄN</t>
        </is>
      </c>
      <c r="G154" t="inlineStr">
        <is>
          <t>GISLAVED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46313</v>
      </c>
      <c r="F155" t="inlineStr">
        <is>
          <t>JÖNKÖPINGS LÄN</t>
        </is>
      </c>
      <c r="G155" t="inlineStr">
        <is>
          <t>GISLAVED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44742-2023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45190</v>
      </c>
      <c r="E156" s="1" t="n">
        <v>46313</v>
      </c>
      <c r="F156" t="inlineStr">
        <is>
          <t>JÖNKÖPINGS LÄN</t>
        </is>
      </c>
      <c r="G156" t="inlineStr">
        <is>
          <t>GISLAVED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44563</v>
      </c>
      <c r="E157" s="1" t="n">
        <v>46313</v>
      </c>
      <c r="F157" t="inlineStr">
        <is>
          <t>JÖNKÖPINGS LÄN</t>
        </is>
      </c>
      <c r="G157" t="inlineStr">
        <is>
          <t>GISLAVED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45118</v>
      </c>
      <c r="E158" s="1" t="n">
        <v>46313</v>
      </c>
      <c r="F158" t="inlineStr">
        <is>
          <t>JÖNKÖPINGS LÄN</t>
        </is>
      </c>
      <c r="G158" t="inlineStr">
        <is>
          <t>GISLAVED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46313</v>
      </c>
      <c r="F159" t="inlineStr">
        <is>
          <t>JÖNKÖPINGS LÄN</t>
        </is>
      </c>
      <c r="G159" t="inlineStr">
        <is>
          <t>GISLAVED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46313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45182</v>
      </c>
      <c r="E161" s="1" t="n">
        <v>46313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46313</v>
      </c>
      <c r="F162" t="inlineStr">
        <is>
          <t>JÖNKÖPINGS LÄN</t>
        </is>
      </c>
      <c r="G162" t="inlineStr">
        <is>
          <t>GISLAVED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46313</v>
      </c>
      <c r="F163" t="inlineStr">
        <is>
          <t>JÖNKÖPINGS LÄN</t>
        </is>
      </c>
      <c r="G163" t="inlineStr">
        <is>
          <t>GISLAVED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46313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46313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46313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46313</v>
      </c>
      <c r="F167" t="inlineStr">
        <is>
          <t>JÖNKÖPINGS LÄN</t>
        </is>
      </c>
      <c r="G167" t="inlineStr">
        <is>
          <t>GISLAVED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44519</v>
      </c>
      <c r="E168" s="1" t="n">
        <v>46313</v>
      </c>
      <c r="F168" t="inlineStr">
        <is>
          <t>JÖNKÖPINGS LÄN</t>
        </is>
      </c>
      <c r="G168" t="inlineStr">
        <is>
          <t>GISLAVED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46313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46313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46313</v>
      </c>
      <c r="F171" t="inlineStr">
        <is>
          <t>JÖNKÖPINGS LÄN</t>
        </is>
      </c>
      <c r="G171" t="inlineStr">
        <is>
          <t>GISLAVED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45345</v>
      </c>
      <c r="E172" s="1" t="n">
        <v>46313</v>
      </c>
      <c r="F172" t="inlineStr">
        <is>
          <t>JÖNKÖPINGS LÄN</t>
        </is>
      </c>
      <c r="G172" t="inlineStr">
        <is>
          <t>GISLAVED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46313</v>
      </c>
      <c r="F173" t="inlineStr">
        <is>
          <t>JÖNKÖPINGS LÄN</t>
        </is>
      </c>
      <c r="G173" t="inlineStr">
        <is>
          <t>GISLAVED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46313</v>
      </c>
      <c r="F174" t="inlineStr">
        <is>
          <t>JÖNKÖPINGS LÄN</t>
        </is>
      </c>
      <c r="G174" t="inlineStr">
        <is>
          <t>GISLAVED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46313</v>
      </c>
      <c r="F175" t="inlineStr">
        <is>
          <t>JÖNKÖPINGS LÄN</t>
        </is>
      </c>
      <c r="G175" t="inlineStr">
        <is>
          <t>GISLAVED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46313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46313</v>
      </c>
      <c r="F177" t="inlineStr">
        <is>
          <t>JÖNKÖPINGS LÄN</t>
        </is>
      </c>
      <c r="G177" t="inlineStr">
        <is>
          <t>GISLAVED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46313</v>
      </c>
      <c r="F178" t="inlineStr">
        <is>
          <t>JÖNKÖPINGS LÄN</t>
        </is>
      </c>
      <c r="G178" t="inlineStr">
        <is>
          <t>GISLAVED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46313</v>
      </c>
      <c r="F179" t="inlineStr">
        <is>
          <t>JÖNKÖPINGS LÄN</t>
        </is>
      </c>
      <c r="G179" t="inlineStr">
        <is>
          <t>GISLAVED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46313</v>
      </c>
      <c r="F180" t="inlineStr">
        <is>
          <t>JÖNKÖPINGS LÄN</t>
        </is>
      </c>
      <c r="G180" t="inlineStr">
        <is>
          <t>GISLAVED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46313</v>
      </c>
      <c r="F181" t="inlineStr">
        <is>
          <t>JÖNKÖPINGS LÄN</t>
        </is>
      </c>
      <c r="G181" t="inlineStr">
        <is>
          <t>GISLAVED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46313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44662</v>
      </c>
      <c r="E183" s="1" t="n">
        <v>46313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45783</v>
      </c>
      <c r="E184" s="1" t="n">
        <v>46313</v>
      </c>
      <c r="F184" t="inlineStr">
        <is>
          <t>JÖNKÖPINGS LÄN</t>
        </is>
      </c>
      <c r="G184" t="inlineStr">
        <is>
          <t>GISLAVED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46313</v>
      </c>
      <c r="F185" t="inlineStr">
        <is>
          <t>JÖNKÖPINGS LÄN</t>
        </is>
      </c>
      <c r="G185" t="inlineStr">
        <is>
          <t>GISLAVED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46313</v>
      </c>
      <c r="F186" t="inlineStr">
        <is>
          <t>JÖNKÖPINGS LÄN</t>
        </is>
      </c>
      <c r="G186" t="inlineStr">
        <is>
          <t>GISLAVED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46313</v>
      </c>
      <c r="F187" t="inlineStr">
        <is>
          <t>JÖNKÖPINGS LÄN</t>
        </is>
      </c>
      <c r="G187" t="inlineStr">
        <is>
          <t>GISLAVED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46313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46313</v>
      </c>
      <c r="F189" t="inlineStr">
        <is>
          <t>JÖNKÖPINGS LÄN</t>
        </is>
      </c>
      <c r="G189" t="inlineStr">
        <is>
          <t>GISLAVED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46313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28318-2025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45818</v>
      </c>
      <c r="E191" s="1" t="n">
        <v>46313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46313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46313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46313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46313</v>
      </c>
      <c r="F195" t="inlineStr">
        <is>
          <t>JÖNKÖPINGS LÄN</t>
        </is>
      </c>
      <c r="G195" t="inlineStr">
        <is>
          <t>GISLAVED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46313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46313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46313</v>
      </c>
      <c r="F198" t="inlineStr">
        <is>
          <t>JÖNKÖPINGS LÄN</t>
        </is>
      </c>
      <c r="G198" t="inlineStr">
        <is>
          <t>GISLAVED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46313</v>
      </c>
      <c r="F199" t="inlineStr">
        <is>
          <t>JÖNKÖPINGS LÄN</t>
        </is>
      </c>
      <c r="G199" t="inlineStr">
        <is>
          <t>GISLAVED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46313</v>
      </c>
      <c r="F200" t="inlineStr">
        <is>
          <t>JÖNKÖPINGS LÄN</t>
        </is>
      </c>
      <c r="G200" t="inlineStr">
        <is>
          <t>GISLAVED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46313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46313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46313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44735</v>
      </c>
      <c r="E204" s="1" t="n">
        <v>46313</v>
      </c>
      <c r="F204" t="inlineStr">
        <is>
          <t>JÖNKÖPINGS LÄN</t>
        </is>
      </c>
      <c r="G204" t="inlineStr">
        <is>
          <t>GISLAVED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46313</v>
      </c>
      <c r="F205" t="inlineStr">
        <is>
          <t>JÖNKÖPINGS LÄN</t>
        </is>
      </c>
      <c r="G205" t="inlineStr">
        <is>
          <t>GISLAVED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46313</v>
      </c>
      <c r="F206" t="inlineStr">
        <is>
          <t>JÖNKÖPINGS LÄN</t>
        </is>
      </c>
      <c r="G206" t="inlineStr">
        <is>
          <t>GISLAVED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45465</v>
      </c>
      <c r="E207" s="1" t="n">
        <v>46313</v>
      </c>
      <c r="F207" t="inlineStr">
        <is>
          <t>JÖNKÖPINGS LÄN</t>
        </is>
      </c>
      <c r="G207" t="inlineStr">
        <is>
          <t>GISLAVED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46313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45852</v>
      </c>
      <c r="E209" s="1" t="n">
        <v>46313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46313</v>
      </c>
      <c r="F210" t="inlineStr">
        <is>
          <t>JÖNKÖPINGS LÄN</t>
        </is>
      </c>
      <c r="G210" t="inlineStr">
        <is>
          <t>GISLAVED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46313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46313</v>
      </c>
      <c r="F212" t="inlineStr">
        <is>
          <t>JÖNKÖPINGS LÄN</t>
        </is>
      </c>
      <c r="G212" t="inlineStr">
        <is>
          <t>GISLAVED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46313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46313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46313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46313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46313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46313</v>
      </c>
      <c r="F218" t="inlineStr">
        <is>
          <t>JÖNKÖPINGS LÄN</t>
        </is>
      </c>
      <c r="G218" t="inlineStr">
        <is>
          <t>GISLAVED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46313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46313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46313</v>
      </c>
      <c r="F221" t="inlineStr">
        <is>
          <t>JÖNKÖPINGS LÄN</t>
        </is>
      </c>
      <c r="G221" t="inlineStr">
        <is>
          <t>GISLAVED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45462</v>
      </c>
      <c r="E222" s="1" t="n">
        <v>46313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46313</v>
      </c>
      <c r="F223" t="inlineStr">
        <is>
          <t>JÖNKÖPINGS LÄN</t>
        </is>
      </c>
      <c r="G223" t="inlineStr">
        <is>
          <t>GISLAVED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46313</v>
      </c>
      <c r="F224" t="inlineStr">
        <is>
          <t>JÖNKÖPINGS LÄN</t>
        </is>
      </c>
      <c r="G224" t="inlineStr">
        <is>
          <t>GISLAVED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42602-2025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45905</v>
      </c>
      <c r="E225" s="1" t="n">
        <v>46313</v>
      </c>
      <c r="F225" t="inlineStr">
        <is>
          <t>JÖNKÖPINGS LÄN</t>
        </is>
      </c>
      <c r="G225" t="inlineStr">
        <is>
          <t>GISLAVED</t>
        </is>
      </c>
      <c r="H225" t="inlineStr">
        <is>
          <t>Kommuner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46313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46313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46313</v>
      </c>
      <c r="F228" t="inlineStr">
        <is>
          <t>JÖNKÖPINGS LÄN</t>
        </is>
      </c>
      <c r="G228" t="inlineStr">
        <is>
          <t>GISLAVED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46313</v>
      </c>
      <c r="F229" t="inlineStr">
        <is>
          <t>JÖNKÖPINGS LÄN</t>
        </is>
      </c>
      <c r="G229" t="inlineStr">
        <is>
          <t>GISLAVED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46313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46313</v>
      </c>
      <c r="F231" t="inlineStr">
        <is>
          <t>JÖNKÖPINGS LÄN</t>
        </is>
      </c>
      <c r="G231" t="inlineStr">
        <is>
          <t>GISLAVED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46313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45511</v>
      </c>
      <c r="E233" s="1" t="n">
        <v>46313</v>
      </c>
      <c r="F233" t="inlineStr">
        <is>
          <t>JÖNKÖPINGS LÄN</t>
        </is>
      </c>
      <c r="G233" t="inlineStr">
        <is>
          <t>GISLAVED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46313</v>
      </c>
      <c r="F234" t="inlineStr">
        <is>
          <t>JÖNKÖPINGS LÄN</t>
        </is>
      </c>
      <c r="G234" t="inlineStr">
        <is>
          <t>GISLAVED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46313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46313</v>
      </c>
      <c r="F236" t="inlineStr">
        <is>
          <t>JÖNKÖPINGS LÄN</t>
        </is>
      </c>
      <c r="G236" t="inlineStr">
        <is>
          <t>GISLAVED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46313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46313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46313</v>
      </c>
      <c r="F239" t="inlineStr">
        <is>
          <t>JÖNKÖPINGS LÄN</t>
        </is>
      </c>
      <c r="G239" t="inlineStr">
        <is>
          <t>GISLAVED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46313</v>
      </c>
      <c r="F240" t="inlineStr">
        <is>
          <t>JÖNKÖPINGS LÄN</t>
        </is>
      </c>
      <c r="G240" t="inlineStr">
        <is>
          <t>GISLAVED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46313</v>
      </c>
      <c r="F241" t="inlineStr">
        <is>
          <t>JÖNKÖPINGS LÄN</t>
        </is>
      </c>
      <c r="G241" t="inlineStr">
        <is>
          <t>GISLAVED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45916</v>
      </c>
      <c r="E242" s="1" t="n">
        <v>46313</v>
      </c>
      <c r="F242" t="inlineStr">
        <is>
          <t>JÖNKÖPINGS LÄN</t>
        </is>
      </c>
      <c r="G242" t="inlineStr">
        <is>
          <t>GISLAVED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46313</v>
      </c>
      <c r="F243" t="inlineStr">
        <is>
          <t>JÖNKÖPINGS LÄN</t>
        </is>
      </c>
      <c r="G243" t="inlineStr">
        <is>
          <t>GISLAVED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46313</v>
      </c>
      <c r="F244" t="inlineStr">
        <is>
          <t>JÖNKÖPINGS LÄN</t>
        </is>
      </c>
      <c r="G244" t="inlineStr">
        <is>
          <t>GISLAVED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46313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46313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46313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44624</v>
      </c>
      <c r="E248" s="1" t="n">
        <v>46313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46313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46313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46313</v>
      </c>
      <c r="F251" t="inlineStr">
        <is>
          <t>JÖNKÖPINGS LÄN</t>
        </is>
      </c>
      <c r="G251" t="inlineStr">
        <is>
          <t>GISLAVED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45682</v>
      </c>
      <c r="E252" s="1" t="n">
        <v>46313</v>
      </c>
      <c r="F252" t="inlineStr">
        <is>
          <t>JÖNKÖPINGS LÄN</t>
        </is>
      </c>
      <c r="G252" t="inlineStr">
        <is>
          <t>GISLAVED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46313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46313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46313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46313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46313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46313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46313</v>
      </c>
      <c r="F259" t="inlineStr">
        <is>
          <t>JÖNKÖPINGS LÄN</t>
        </is>
      </c>
      <c r="G259" t="inlineStr">
        <is>
          <t>GISLAVED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46313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46313</v>
      </c>
      <c r="F261" t="inlineStr">
        <is>
          <t>JÖNKÖPINGS LÄN</t>
        </is>
      </c>
      <c r="G261" t="inlineStr">
        <is>
          <t>GISLAVED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46313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46313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46313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46313</v>
      </c>
      <c r="F265" t="inlineStr">
        <is>
          <t>JÖNKÖPINGS LÄN</t>
        </is>
      </c>
      <c r="G265" t="inlineStr">
        <is>
          <t>GISLAVED</t>
        </is>
      </c>
      <c r="H265" t="inlineStr">
        <is>
          <t>Sveaskog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46313</v>
      </c>
      <c r="F266" t="inlineStr">
        <is>
          <t>JÖNKÖPINGS LÄN</t>
        </is>
      </c>
      <c r="G266" t="inlineStr">
        <is>
          <t>GISLAVED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46313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46313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46313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46313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44578</v>
      </c>
      <c r="E271" s="1" t="n">
        <v>46313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46313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67211-2021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46313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46313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44926</v>
      </c>
      <c r="E275" s="1" t="n">
        <v>46313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46313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46313</v>
      </c>
      <c r="F277" t="inlineStr">
        <is>
          <t>JÖNKÖPINGS LÄN</t>
        </is>
      </c>
      <c r="G277" t="inlineStr">
        <is>
          <t>GISLAVED</t>
        </is>
      </c>
      <c r="H277" t="inlineStr">
        <is>
          <t>Kommuner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46313</v>
      </c>
      <c r="F278" t="inlineStr">
        <is>
          <t>JÖNKÖPINGS LÄN</t>
        </is>
      </c>
      <c r="G278" t="inlineStr">
        <is>
          <t>GISLAVED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46313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46313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44931</v>
      </c>
      <c r="E281" s="1" t="n">
        <v>46313</v>
      </c>
      <c r="F281" t="inlineStr">
        <is>
          <t>JÖNKÖPINGS LÄN</t>
        </is>
      </c>
      <c r="G281" t="inlineStr">
        <is>
          <t>GISLAVED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46313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46313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46313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46313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46313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44651</v>
      </c>
      <c r="E287" s="1" t="n">
        <v>46313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46313</v>
      </c>
      <c r="F288" t="inlineStr">
        <is>
          <t>JÖNKÖPINGS LÄN</t>
        </is>
      </c>
      <c r="G288" t="inlineStr">
        <is>
          <t>GISLAVED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45678</v>
      </c>
      <c r="E289" s="1" t="n">
        <v>46313</v>
      </c>
      <c r="F289" t="inlineStr">
        <is>
          <t>JÖNKÖPINGS LÄN</t>
        </is>
      </c>
      <c r="G289" t="inlineStr">
        <is>
          <t>GISLAVED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45097</v>
      </c>
      <c r="E290" s="1" t="n">
        <v>46313</v>
      </c>
      <c r="F290" t="inlineStr">
        <is>
          <t>JÖNKÖPINGS LÄN</t>
        </is>
      </c>
      <c r="G290" t="inlineStr">
        <is>
          <t>GISLAVED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46313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45958</v>
      </c>
      <c r="E292" s="1" t="n">
        <v>46313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46313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46313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46313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46313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46313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46313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46313</v>
      </c>
      <c r="F299" t="inlineStr">
        <is>
          <t>JÖNKÖPINGS LÄN</t>
        </is>
      </c>
      <c r="G299" t="inlineStr">
        <is>
          <t>GISLAVED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46156</v>
      </c>
      <c r="E300" s="1" t="n">
        <v>46313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46156</v>
      </c>
      <c r="E301" s="1" t="n">
        <v>46313</v>
      </c>
      <c r="F301" t="inlineStr">
        <is>
          <t>JÖNKÖPINGS LÄN</t>
        </is>
      </c>
      <c r="G301" t="inlineStr">
        <is>
          <t>GISLAVED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46156</v>
      </c>
      <c r="E302" s="1" t="n">
        <v>46313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46156</v>
      </c>
      <c r="E303" s="1" t="n">
        <v>46313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46313</v>
      </c>
      <c r="F304" t="inlineStr">
        <is>
          <t>JÖNKÖPINGS LÄN</t>
        </is>
      </c>
      <c r="G304" t="inlineStr">
        <is>
          <t>GISLAVED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46313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46313</v>
      </c>
      <c r="F306" t="inlineStr">
        <is>
          <t>JÖNKÖPINGS LÄN</t>
        </is>
      </c>
      <c r="G306" t="inlineStr">
        <is>
          <t>GISLAVED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46313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46313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46313</v>
      </c>
      <c r="F309" t="inlineStr">
        <is>
          <t>JÖNKÖPINGS LÄN</t>
        </is>
      </c>
      <c r="G309" t="inlineStr">
        <is>
          <t>GISLAVED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46313</v>
      </c>
      <c r="F310" t="inlineStr">
        <is>
          <t>JÖNKÖPINGS LÄN</t>
        </is>
      </c>
      <c r="G310" t="inlineStr">
        <is>
          <t>GISLAVED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45599</v>
      </c>
      <c r="E311" s="1" t="n">
        <v>46313</v>
      </c>
      <c r="F311" t="inlineStr">
        <is>
          <t>JÖNKÖPINGS LÄN</t>
        </is>
      </c>
      <c r="G311" t="inlineStr">
        <is>
          <t>GISLAVED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46313</v>
      </c>
      <c r="F312" t="inlineStr">
        <is>
          <t>JÖNKÖPINGS LÄN</t>
        </is>
      </c>
      <c r="G312" t="inlineStr">
        <is>
          <t>GISLAVED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45963</v>
      </c>
      <c r="E313" s="1" t="n">
        <v>46313</v>
      </c>
      <c r="F313" t="inlineStr">
        <is>
          <t>JÖNKÖPINGS LÄN</t>
        </is>
      </c>
      <c r="G313" t="inlineStr">
        <is>
          <t>GISLAVED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46313</v>
      </c>
      <c r="F314" t="inlineStr">
        <is>
          <t>JÖNKÖPINGS LÄN</t>
        </is>
      </c>
      <c r="G314" t="inlineStr">
        <is>
          <t>GISLAVED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46313</v>
      </c>
      <c r="F315" t="inlineStr">
        <is>
          <t>JÖNKÖPINGS LÄN</t>
        </is>
      </c>
      <c r="G315" t="inlineStr">
        <is>
          <t>GISLAVED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45616</v>
      </c>
      <c r="E316" s="1" t="n">
        <v>46313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46313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46313</v>
      </c>
      <c r="F318" t="inlineStr">
        <is>
          <t>JÖNKÖPINGS LÄN</t>
        </is>
      </c>
      <c r="G318" t="inlineStr">
        <is>
          <t>GISLAVED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46313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46313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46313</v>
      </c>
      <c r="F321" t="inlineStr">
        <is>
          <t>JÖNKÖPINGS LÄN</t>
        </is>
      </c>
      <c r="G321" t="inlineStr">
        <is>
          <t>GISLAVED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46313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45235</v>
      </c>
      <c r="E323" s="1" t="n">
        <v>46313</v>
      </c>
      <c r="F323" t="inlineStr">
        <is>
          <t>JÖNKÖPINGS LÄN</t>
        </is>
      </c>
      <c r="G323" t="inlineStr">
        <is>
          <t>GISLAVED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46313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46313</v>
      </c>
      <c r="F325" t="inlineStr">
        <is>
          <t>JÖNKÖPINGS LÄN</t>
        </is>
      </c>
      <c r="G325" t="inlineStr">
        <is>
          <t>GISLAVED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46313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46313</v>
      </c>
      <c r="F327" t="inlineStr">
        <is>
          <t>JÖNKÖPINGS LÄN</t>
        </is>
      </c>
      <c r="G327" t="inlineStr">
        <is>
          <t>GISLAVED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46313</v>
      </c>
      <c r="F328" t="inlineStr">
        <is>
          <t>JÖNKÖPINGS LÄN</t>
        </is>
      </c>
      <c r="G328" t="inlineStr">
        <is>
          <t>GISLAVED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46313</v>
      </c>
      <c r="F329" t="inlineStr">
        <is>
          <t>JÖNKÖPINGS LÄN</t>
        </is>
      </c>
      <c r="G329" t="inlineStr">
        <is>
          <t>GISLAVED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46313</v>
      </c>
      <c r="F330" t="inlineStr">
        <is>
          <t>JÖNKÖPINGS LÄN</t>
        </is>
      </c>
      <c r="G330" t="inlineStr">
        <is>
          <t>GISLAVED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45675</v>
      </c>
      <c r="E331" s="1" t="n">
        <v>46313</v>
      </c>
      <c r="F331" t="inlineStr">
        <is>
          <t>JÖNKÖPINGS LÄN</t>
        </is>
      </c>
      <c r="G331" t="inlineStr">
        <is>
          <t>GISLAVED</t>
        </is>
      </c>
      <c r="H331" t="inlineStr">
        <is>
          <t>Kommuner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46313</v>
      </c>
      <c r="F332" t="inlineStr">
        <is>
          <t>JÖNKÖPINGS LÄN</t>
        </is>
      </c>
      <c r="G332" t="inlineStr">
        <is>
          <t>GISLAVED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46313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46313</v>
      </c>
      <c r="F334" t="inlineStr">
        <is>
          <t>JÖNKÖPINGS LÄN</t>
        </is>
      </c>
      <c r="G334" t="inlineStr">
        <is>
          <t>GISLAVED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46313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46313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46313</v>
      </c>
      <c r="F337" t="inlineStr">
        <is>
          <t>JÖNKÖPINGS LÄN</t>
        </is>
      </c>
      <c r="G337" t="inlineStr">
        <is>
          <t>GISLAVED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46313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46313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46313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46313</v>
      </c>
      <c r="F341" t="inlineStr">
        <is>
          <t>JÖNKÖPINGS LÄN</t>
        </is>
      </c>
      <c r="G341" t="inlineStr">
        <is>
          <t>GISLAVED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46313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46313</v>
      </c>
      <c r="F343" t="inlineStr">
        <is>
          <t>JÖNKÖPINGS LÄN</t>
        </is>
      </c>
      <c r="G343" t="inlineStr">
        <is>
          <t>GISLAVED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46313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46313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46313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46313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7629-2022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46313</v>
      </c>
      <c r="F348" t="inlineStr">
        <is>
          <t>JÖNKÖPINGS LÄN</t>
        </is>
      </c>
      <c r="G348" t="inlineStr">
        <is>
          <t>GISLAVED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46313</v>
      </c>
      <c r="F349" t="inlineStr">
        <is>
          <t>JÖNKÖPINGS LÄN</t>
        </is>
      </c>
      <c r="G349" t="inlineStr">
        <is>
          <t>GISLAVED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46313</v>
      </c>
      <c r="F350" t="inlineStr">
        <is>
          <t>JÖNKÖPINGS LÄN</t>
        </is>
      </c>
      <c r="G350" t="inlineStr">
        <is>
          <t>GISLAVED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46313</v>
      </c>
      <c r="F351" t="inlineStr">
        <is>
          <t>JÖNKÖPINGS LÄN</t>
        </is>
      </c>
      <c r="G351" t="inlineStr">
        <is>
          <t>GISLAVED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46313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58286-2025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46313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46313</v>
      </c>
      <c r="F354" t="inlineStr">
        <is>
          <t>JÖNKÖPINGS LÄN</t>
        </is>
      </c>
      <c r="G354" t="inlineStr">
        <is>
          <t>GISLAVED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46313</v>
      </c>
      <c r="F355" t="inlineStr">
        <is>
          <t>JÖNKÖPINGS LÄN</t>
        </is>
      </c>
      <c r="G355" t="inlineStr">
        <is>
          <t>GISLAVED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46313</v>
      </c>
      <c r="F356" t="inlineStr">
        <is>
          <t>JÖNKÖPINGS LÄN</t>
        </is>
      </c>
      <c r="G356" t="inlineStr">
        <is>
          <t>GISLAVED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46313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46313</v>
      </c>
      <c r="F358" t="inlineStr">
        <is>
          <t>JÖNKÖPINGS LÄN</t>
        </is>
      </c>
      <c r="G358" t="inlineStr">
        <is>
          <t>GISLAVED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44497</v>
      </c>
      <c r="E359" s="1" t="n">
        <v>46313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44931</v>
      </c>
      <c r="E360" s="1" t="n">
        <v>46313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46313</v>
      </c>
      <c r="F361" t="inlineStr">
        <is>
          <t>JÖNKÖPINGS LÄN</t>
        </is>
      </c>
      <c r="G361" t="inlineStr">
        <is>
          <t>GISLAVED</t>
        </is>
      </c>
      <c r="H361" t="inlineStr">
        <is>
          <t>Kyrkan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46313</v>
      </c>
      <c r="F362" t="inlineStr">
        <is>
          <t>JÖNKÖPINGS LÄN</t>
        </is>
      </c>
      <c r="G362" t="inlineStr">
        <is>
          <t>GISLAVED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51123-2024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46313</v>
      </c>
      <c r="F363" t="inlineStr">
        <is>
          <t>JÖNKÖPINGS LÄN</t>
        </is>
      </c>
      <c r="G363" t="inlineStr">
        <is>
          <t>GISLAVED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46313</v>
      </c>
      <c r="F364" t="inlineStr">
        <is>
          <t>JÖNKÖPINGS LÄN</t>
        </is>
      </c>
      <c r="G364" t="inlineStr">
        <is>
          <t>GISLAVED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46313</v>
      </c>
      <c r="F365" t="inlineStr">
        <is>
          <t>JÖNKÖPINGS LÄN</t>
        </is>
      </c>
      <c r="G365" t="inlineStr">
        <is>
          <t>GISLAVED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45875</v>
      </c>
      <c r="E366" s="1" t="n">
        <v>46313</v>
      </c>
      <c r="F366" t="inlineStr">
        <is>
          <t>JÖNKÖPINGS LÄN</t>
        </is>
      </c>
      <c r="G366" t="inlineStr">
        <is>
          <t>GISLAVED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46313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46313</v>
      </c>
      <c r="F368" t="inlineStr">
        <is>
          <t>JÖNKÖPINGS LÄN</t>
        </is>
      </c>
      <c r="G368" t="inlineStr">
        <is>
          <t>GISLAVED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46313</v>
      </c>
      <c r="F369" t="inlineStr">
        <is>
          <t>JÖNKÖPINGS LÄN</t>
        </is>
      </c>
      <c r="G369" t="inlineStr">
        <is>
          <t>GISLAVED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46313</v>
      </c>
      <c r="F370" t="inlineStr">
        <is>
          <t>JÖNKÖPINGS LÄN</t>
        </is>
      </c>
      <c r="G370" t="inlineStr">
        <is>
          <t>GISLAVED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46313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46313</v>
      </c>
      <c r="F372" t="inlineStr">
        <is>
          <t>JÖNKÖPINGS LÄN</t>
        </is>
      </c>
      <c r="G372" t="inlineStr">
        <is>
          <t>GISLAVED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46313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63062-2025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46313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46313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46313</v>
      </c>
      <c r="F376" t="inlineStr">
        <is>
          <t>JÖNKÖPINGS LÄN</t>
        </is>
      </c>
      <c r="G376" t="inlineStr">
        <is>
          <t>GISLAVED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46313</v>
      </c>
      <c r="F377" t="inlineStr">
        <is>
          <t>JÖNKÖPINGS LÄN</t>
        </is>
      </c>
      <c r="G377" t="inlineStr">
        <is>
          <t>GISLAVED</t>
        </is>
      </c>
      <c r="H377" t="inlineStr">
        <is>
          <t>Kommuner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46313</v>
      </c>
      <c r="F378" t="inlineStr">
        <is>
          <t>JÖNKÖPINGS LÄN</t>
        </is>
      </c>
      <c r="G378" t="inlineStr">
        <is>
          <t>GISLAVED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46313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46313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46313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46313</v>
      </c>
      <c r="F382" t="inlineStr">
        <is>
          <t>JÖNKÖPINGS LÄN</t>
        </is>
      </c>
      <c r="G382" t="inlineStr">
        <is>
          <t>GISLAVED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46313</v>
      </c>
      <c r="F383" t="inlineStr">
        <is>
          <t>JÖNKÖPINGS LÄN</t>
        </is>
      </c>
      <c r="G383" t="inlineStr">
        <is>
          <t>GISLAVED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46313</v>
      </c>
      <c r="F384" t="inlineStr">
        <is>
          <t>JÖNKÖPINGS LÄN</t>
        </is>
      </c>
      <c r="G384" t="inlineStr">
        <is>
          <t>GISLAVED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46313</v>
      </c>
      <c r="F385" t="inlineStr">
        <is>
          <t>JÖNKÖPINGS LÄN</t>
        </is>
      </c>
      <c r="G385" t="inlineStr">
        <is>
          <t>GISLAVED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46313</v>
      </c>
      <c r="F386" t="inlineStr">
        <is>
          <t>JÖNKÖPINGS LÄN</t>
        </is>
      </c>
      <c r="G386" t="inlineStr">
        <is>
          <t>GISLAVED</t>
        </is>
      </c>
      <c r="H386" t="inlineStr">
        <is>
          <t>Kommuner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46313</v>
      </c>
      <c r="F387" t="inlineStr">
        <is>
          <t>JÖNKÖPINGS LÄN</t>
        </is>
      </c>
      <c r="G387" t="inlineStr">
        <is>
          <t>GISLAVED</t>
        </is>
      </c>
      <c r="H387" t="inlineStr">
        <is>
          <t>Kommuner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46313</v>
      </c>
      <c r="F388" t="inlineStr">
        <is>
          <t>JÖNKÖPINGS LÄN</t>
        </is>
      </c>
      <c r="G388" t="inlineStr">
        <is>
          <t>GISLAVED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46313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46313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46313</v>
      </c>
      <c r="F391" t="inlineStr">
        <is>
          <t>JÖNKÖPINGS LÄN</t>
        </is>
      </c>
      <c r="G391" t="inlineStr">
        <is>
          <t>GISLAVED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46313</v>
      </c>
      <c r="F392" t="inlineStr">
        <is>
          <t>JÖNKÖPINGS LÄN</t>
        </is>
      </c>
      <c r="G392" t="inlineStr">
        <is>
          <t>GISLAVED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46313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46313</v>
      </c>
      <c r="F394" t="inlineStr">
        <is>
          <t>JÖNKÖPINGS LÄN</t>
        </is>
      </c>
      <c r="G394" t="inlineStr">
        <is>
          <t>GISLAVED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46313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46313</v>
      </c>
      <c r="F396" t="inlineStr">
        <is>
          <t>JÖNKÖPINGS LÄN</t>
        </is>
      </c>
      <c r="G396" t="inlineStr">
        <is>
          <t>GISLAVED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46313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46036</v>
      </c>
      <c r="E398" s="1" t="n">
        <v>46313</v>
      </c>
      <c r="F398" t="inlineStr">
        <is>
          <t>JÖNKÖPINGS LÄN</t>
        </is>
      </c>
      <c r="G398" t="inlineStr">
        <is>
          <t>GISLAVED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46313</v>
      </c>
      <c r="F399" t="inlineStr">
        <is>
          <t>JÖNKÖPINGS LÄN</t>
        </is>
      </c>
      <c r="G399" t="inlineStr">
        <is>
          <t>GISLAVED</t>
        </is>
      </c>
      <c r="H399" t="inlineStr">
        <is>
          <t>Kyrkan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46313</v>
      </c>
      <c r="F400" t="inlineStr">
        <is>
          <t>JÖNKÖPINGS LÄN</t>
        </is>
      </c>
      <c r="G400" t="inlineStr">
        <is>
          <t>GISLAVED</t>
        </is>
      </c>
      <c r="H400" t="inlineStr">
        <is>
          <t>Kyrkan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46313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46313</v>
      </c>
      <c r="F402" t="inlineStr">
        <is>
          <t>JÖNKÖPINGS LÄN</t>
        </is>
      </c>
      <c r="G402" t="inlineStr">
        <is>
          <t>GISLAVED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46313</v>
      </c>
      <c r="F403" t="inlineStr">
        <is>
          <t>JÖNKÖPINGS LÄN</t>
        </is>
      </c>
      <c r="G403" t="inlineStr">
        <is>
          <t>GISLAVED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46313</v>
      </c>
      <c r="F404" t="inlineStr">
        <is>
          <t>JÖNKÖPINGS LÄN</t>
        </is>
      </c>
      <c r="G404" t="inlineStr">
        <is>
          <t>GISLAVED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46313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46313</v>
      </c>
      <c r="F406" t="inlineStr">
        <is>
          <t>JÖNKÖPINGS LÄN</t>
        </is>
      </c>
      <c r="G406" t="inlineStr">
        <is>
          <t>GISLAVED</t>
        </is>
      </c>
      <c r="H406" t="inlineStr">
        <is>
          <t>Kyrkan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38142-2022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44812</v>
      </c>
      <c r="E407" s="1" t="n">
        <v>46313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46313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46313</v>
      </c>
      <c r="F409" t="inlineStr">
        <is>
          <t>JÖNKÖPINGS LÄN</t>
        </is>
      </c>
      <c r="G409" t="inlineStr">
        <is>
          <t>GISLAVED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46313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46313</v>
      </c>
      <c r="F411" t="inlineStr">
        <is>
          <t>JÖNKÖPINGS LÄN</t>
        </is>
      </c>
      <c r="G411" t="inlineStr">
        <is>
          <t>GISLAVED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46313</v>
      </c>
      <c r="F412" t="inlineStr">
        <is>
          <t>JÖNKÖPINGS LÄN</t>
        </is>
      </c>
      <c r="G412" t="inlineStr">
        <is>
          <t>GISLAVED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46313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46313</v>
      </c>
      <c r="F414" t="inlineStr">
        <is>
          <t>JÖNKÖPINGS LÄN</t>
        </is>
      </c>
      <c r="G414" t="inlineStr">
        <is>
          <t>GISLAVED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46313</v>
      </c>
      <c r="F415" t="inlineStr">
        <is>
          <t>JÖNKÖPINGS LÄN</t>
        </is>
      </c>
      <c r="G415" t="inlineStr">
        <is>
          <t>GISLAVED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46313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46313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45624</v>
      </c>
      <c r="E418" s="1" t="n">
        <v>46313</v>
      </c>
      <c r="F418" t="inlineStr">
        <is>
          <t>JÖNKÖPINGS LÄN</t>
        </is>
      </c>
      <c r="G418" t="inlineStr">
        <is>
          <t>GISLAVED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45042</v>
      </c>
      <c r="E419" s="1" t="n">
        <v>46313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44949</v>
      </c>
      <c r="E420" s="1" t="n">
        <v>46313</v>
      </c>
      <c r="F420" t="inlineStr">
        <is>
          <t>JÖNKÖPINGS LÄN</t>
        </is>
      </c>
      <c r="G420" t="inlineStr">
        <is>
          <t>GISLAVED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46313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46313</v>
      </c>
      <c r="F422" t="inlineStr">
        <is>
          <t>JÖNKÖPINGS LÄN</t>
        </is>
      </c>
      <c r="G422" t="inlineStr">
        <is>
          <t>GISLAVED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44581</v>
      </c>
      <c r="E423" s="1" t="n">
        <v>46313</v>
      </c>
      <c r="F423" t="inlineStr">
        <is>
          <t>JÖNKÖPINGS LÄN</t>
        </is>
      </c>
      <c r="G423" t="inlineStr">
        <is>
          <t>GISLAVED</t>
        </is>
      </c>
      <c r="H423" t="inlineStr">
        <is>
          <t>Kommuner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46313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44615</v>
      </c>
      <c r="E425" s="1" t="n">
        <v>46313</v>
      </c>
      <c r="F425" t="inlineStr">
        <is>
          <t>JÖNKÖPINGS LÄN</t>
        </is>
      </c>
      <c r="G425" t="inlineStr">
        <is>
          <t>GISLAVED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44926</v>
      </c>
      <c r="E426" s="1" t="n">
        <v>46313</v>
      </c>
      <c r="F426" t="inlineStr">
        <is>
          <t>JÖNKÖPINGS LÄN</t>
        </is>
      </c>
      <c r="G426" t="inlineStr">
        <is>
          <t>GISLAVED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46313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46313</v>
      </c>
      <c r="F428" t="inlineStr">
        <is>
          <t>JÖNKÖPINGS LÄN</t>
        </is>
      </c>
      <c r="G428" t="inlineStr">
        <is>
          <t>GISLAVED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44818</v>
      </c>
      <c r="E429" s="1" t="n">
        <v>46313</v>
      </c>
      <c r="F429" t="inlineStr">
        <is>
          <t>JÖNKÖPINGS LÄN</t>
        </is>
      </c>
      <c r="G429" t="inlineStr">
        <is>
          <t>GISLAVED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45135</v>
      </c>
      <c r="E430" s="1" t="n">
        <v>46313</v>
      </c>
      <c r="F430" t="inlineStr">
        <is>
          <t>JÖNKÖPINGS LÄN</t>
        </is>
      </c>
      <c r="G430" t="inlineStr">
        <is>
          <t>GISLAVED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46313</v>
      </c>
      <c r="F431" t="inlineStr">
        <is>
          <t>JÖNKÖPINGS LÄN</t>
        </is>
      </c>
      <c r="G431" t="inlineStr">
        <is>
          <t>GISLAVED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12547-2023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46313</v>
      </c>
      <c r="F432" t="inlineStr">
        <is>
          <t>JÖNKÖPINGS LÄN</t>
        </is>
      </c>
      <c r="G432" t="inlineStr">
        <is>
          <t>GISLAVED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46313</v>
      </c>
      <c r="F433" t="inlineStr">
        <is>
          <t>JÖNKÖPINGS LÄN</t>
        </is>
      </c>
      <c r="G433" t="inlineStr">
        <is>
          <t>GISLAVED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46313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46313</v>
      </c>
      <c r="F435" t="inlineStr">
        <is>
          <t>JÖNKÖPINGS LÄN</t>
        </is>
      </c>
      <c r="G435" t="inlineStr">
        <is>
          <t>GISLAVED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64812-2023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45282</v>
      </c>
      <c r="E436" s="1" t="n">
        <v>46313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44749</v>
      </c>
      <c r="E437" s="1" t="n">
        <v>46313</v>
      </c>
      <c r="F437" t="inlineStr">
        <is>
          <t>JÖNKÖPINGS LÄN</t>
        </is>
      </c>
      <c r="G437" t="inlineStr">
        <is>
          <t>GISLAVED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46313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28563-2022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44748</v>
      </c>
      <c r="E439" s="1" t="n">
        <v>46313</v>
      </c>
      <c r="F439" t="inlineStr">
        <is>
          <t>JÖNKÖPINGS LÄN</t>
        </is>
      </c>
      <c r="G439" t="inlineStr">
        <is>
          <t>GISLAVED</t>
        </is>
      </c>
      <c r="I439" t="n">
        <v>14.1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46313</v>
      </c>
      <c r="F440" t="inlineStr">
        <is>
          <t>JÖNKÖPINGS LÄN</t>
        </is>
      </c>
      <c r="G440" t="inlineStr">
        <is>
          <t>GISLAVED</t>
        </is>
      </c>
      <c r="H440" t="inlineStr">
        <is>
          <t>Kyrkan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46313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46080</v>
      </c>
      <c r="E442" s="1" t="n">
        <v>46313</v>
      </c>
      <c r="F442" t="inlineStr">
        <is>
          <t>JÖNKÖPINGS LÄN</t>
        </is>
      </c>
      <c r="G442" t="inlineStr">
        <is>
          <t>GISLAVED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46313</v>
      </c>
      <c r="F443" t="inlineStr">
        <is>
          <t>JÖNKÖPINGS LÄN</t>
        </is>
      </c>
      <c r="G443" t="inlineStr">
        <is>
          <t>GISLAVED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46313</v>
      </c>
      <c r="F444" t="inlineStr">
        <is>
          <t>JÖNKÖPINGS LÄN</t>
        </is>
      </c>
      <c r="G444" t="inlineStr">
        <is>
          <t>GISLAVED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46313</v>
      </c>
      <c r="F445" t="inlineStr">
        <is>
          <t>JÖNKÖPINGS LÄN</t>
        </is>
      </c>
      <c r="G445" t="inlineStr">
        <is>
          <t>GISLAVED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46313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45702</v>
      </c>
      <c r="E447" s="1" t="n">
        <v>46313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46313</v>
      </c>
      <c r="F448" t="inlineStr">
        <is>
          <t>JÖNKÖPINGS LÄN</t>
        </is>
      </c>
      <c r="G448" t="inlineStr">
        <is>
          <t>GISLAVED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46313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46313</v>
      </c>
      <c r="F450" t="inlineStr">
        <is>
          <t>JÖNKÖPINGS LÄN</t>
        </is>
      </c>
      <c r="G450" t="inlineStr">
        <is>
          <t>GISLAVED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46313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44776</v>
      </c>
      <c r="E452" s="1" t="n">
        <v>46313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46313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46313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46313</v>
      </c>
      <c r="F455" t="inlineStr">
        <is>
          <t>JÖNKÖPINGS LÄN</t>
        </is>
      </c>
      <c r="G455" t="inlineStr">
        <is>
          <t>GISLAVED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46313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45675</v>
      </c>
      <c r="E457" s="1" t="n">
        <v>46313</v>
      </c>
      <c r="F457" t="inlineStr">
        <is>
          <t>JÖNKÖPINGS LÄN</t>
        </is>
      </c>
      <c r="G457" t="inlineStr">
        <is>
          <t>GISLAVED</t>
        </is>
      </c>
      <c r="H457" t="inlineStr">
        <is>
          <t>Kommuner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46313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46313</v>
      </c>
      <c r="F459" t="inlineStr">
        <is>
          <t>JÖNKÖPINGS LÄN</t>
        </is>
      </c>
      <c r="G459" t="inlineStr">
        <is>
          <t>GISLAVED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44971</v>
      </c>
      <c r="E460" s="1" t="n">
        <v>46313</v>
      </c>
      <c r="F460" t="inlineStr">
        <is>
          <t>JÖNKÖPINGS LÄN</t>
        </is>
      </c>
      <c r="G460" t="inlineStr">
        <is>
          <t>GISLAVED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7510-2023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44971</v>
      </c>
      <c r="E461" s="1" t="n">
        <v>46313</v>
      </c>
      <c r="F461" t="inlineStr">
        <is>
          <t>JÖNKÖPINGS LÄN</t>
        </is>
      </c>
      <c r="G461" t="inlineStr">
        <is>
          <t>GISLAVED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46193</v>
      </c>
      <c r="E462" s="1" t="n">
        <v>46313</v>
      </c>
      <c r="F462" t="inlineStr">
        <is>
          <t>JÖNKÖPINGS LÄN</t>
        </is>
      </c>
      <c r="G462" t="inlineStr">
        <is>
          <t>GISLAVED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46313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46313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46313</v>
      </c>
      <c r="F465" t="inlineStr">
        <is>
          <t>JÖNKÖPINGS LÄN</t>
        </is>
      </c>
      <c r="G465" t="inlineStr">
        <is>
          <t>GISLAVED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46313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46098</v>
      </c>
      <c r="E467" s="1" t="n">
        <v>46313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46313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46313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46313</v>
      </c>
      <c r="F470" t="inlineStr">
        <is>
          <t>JÖNKÖPINGS LÄN</t>
        </is>
      </c>
      <c r="G470" t="inlineStr">
        <is>
          <t>GISLAVED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61177-2021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46313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45509</v>
      </c>
      <c r="E472" s="1" t="n">
        <v>46313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46313</v>
      </c>
      <c r="F473" t="inlineStr">
        <is>
          <t>JÖNKÖPINGS LÄN</t>
        </is>
      </c>
      <c r="G473" t="inlineStr">
        <is>
          <t>GISLAVED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46313</v>
      </c>
      <c r="F474" t="inlineStr">
        <is>
          <t>JÖNKÖPINGS LÄN</t>
        </is>
      </c>
      <c r="G474" t="inlineStr">
        <is>
          <t>GISLAVED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46313</v>
      </c>
      <c r="F475" t="inlineStr">
        <is>
          <t>JÖNKÖPINGS LÄN</t>
        </is>
      </c>
      <c r="G475" t="inlineStr">
        <is>
          <t>GISLAVED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46313</v>
      </c>
      <c r="F476" t="inlineStr">
        <is>
          <t>JÖNKÖPINGS LÄN</t>
        </is>
      </c>
      <c r="G476" t="inlineStr">
        <is>
          <t>GISLAVED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46313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46313</v>
      </c>
      <c r="F478" t="inlineStr">
        <is>
          <t>JÖNKÖPINGS LÄN</t>
        </is>
      </c>
      <c r="G478" t="inlineStr">
        <is>
          <t>GISLAVED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46313</v>
      </c>
      <c r="F479" t="inlineStr">
        <is>
          <t>JÖNKÖPINGS LÄN</t>
        </is>
      </c>
      <c r="G479" t="inlineStr">
        <is>
          <t>GISLAVED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46313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44915</v>
      </c>
      <c r="E481" s="1" t="n">
        <v>46313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46313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46313</v>
      </c>
      <c r="F483" t="inlineStr">
        <is>
          <t>JÖNKÖPINGS LÄN</t>
        </is>
      </c>
      <c r="G483" t="inlineStr">
        <is>
          <t>GISLAVED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46313</v>
      </c>
      <c r="F484" t="inlineStr">
        <is>
          <t>JÖNKÖPINGS LÄN</t>
        </is>
      </c>
      <c r="G484" t="inlineStr">
        <is>
          <t>GISLAVED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45447</v>
      </c>
      <c r="E485" s="1" t="n">
        <v>46313</v>
      </c>
      <c r="F485" t="inlineStr">
        <is>
          <t>JÖNKÖPINGS LÄN</t>
        </is>
      </c>
      <c r="G485" t="inlineStr">
        <is>
          <t>GISLAVED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46313</v>
      </c>
      <c r="F486" t="inlineStr">
        <is>
          <t>JÖNKÖPINGS LÄN</t>
        </is>
      </c>
      <c r="G486" t="inlineStr">
        <is>
          <t>GISLAVED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73545-2021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46313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44739</v>
      </c>
      <c r="E488" s="1" t="n">
        <v>46313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46313</v>
      </c>
      <c r="F489" t="inlineStr">
        <is>
          <t>JÖNKÖPINGS LÄN</t>
        </is>
      </c>
      <c r="G489" t="inlineStr">
        <is>
          <t>GISLAVED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46313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46313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46313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46313</v>
      </c>
      <c r="F493" t="inlineStr">
        <is>
          <t>JÖNKÖPINGS LÄN</t>
        </is>
      </c>
      <c r="G493" t="inlineStr">
        <is>
          <t>GISLAVED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46313</v>
      </c>
      <c r="F494" t="inlineStr">
        <is>
          <t>JÖNKÖPINGS LÄN</t>
        </is>
      </c>
      <c r="G494" t="inlineStr">
        <is>
          <t>GISLAVED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46313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46313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45427</v>
      </c>
      <c r="E497" s="1" t="n">
        <v>46313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60261-2022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44910</v>
      </c>
      <c r="E498" s="1" t="n">
        <v>46313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64815-2023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45282</v>
      </c>
      <c r="E499" s="1" t="n">
        <v>46313</v>
      </c>
      <c r="F499" t="inlineStr">
        <is>
          <t>JÖNKÖPINGS LÄN</t>
        </is>
      </c>
      <c r="G499" t="inlineStr">
        <is>
          <t>GISLAVED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7328-2022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44606</v>
      </c>
      <c r="E500" s="1" t="n">
        <v>46313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46313</v>
      </c>
      <c r="F501" t="inlineStr">
        <is>
          <t>JÖNKÖPINGS LÄN</t>
        </is>
      </c>
      <c r="G501" t="inlineStr">
        <is>
          <t>GISLAVED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45804</v>
      </c>
      <c r="E502" s="1" t="n">
        <v>46313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58389-2023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45250</v>
      </c>
      <c r="E503" s="1" t="n">
        <v>46313</v>
      </c>
      <c r="F503" t="inlineStr">
        <is>
          <t>JÖNKÖPINGS LÄN</t>
        </is>
      </c>
      <c r="G503" t="inlineStr">
        <is>
          <t>GISLAVED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45515</v>
      </c>
      <c r="E504" s="1" t="n">
        <v>46313</v>
      </c>
      <c r="F504" t="inlineStr">
        <is>
          <t>JÖNKÖPINGS LÄN</t>
        </is>
      </c>
      <c r="G504" t="inlineStr">
        <is>
          <t>GISLAVED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46313</v>
      </c>
      <c r="F505" t="inlineStr">
        <is>
          <t>JÖNKÖPINGS LÄN</t>
        </is>
      </c>
      <c r="G505" t="inlineStr">
        <is>
          <t>GISLAVED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45190</v>
      </c>
      <c r="E506" s="1" t="n">
        <v>46313</v>
      </c>
      <c r="F506" t="inlineStr">
        <is>
          <t>JÖNKÖPINGS LÄN</t>
        </is>
      </c>
      <c r="G506" t="inlineStr">
        <is>
          <t>GISLAVED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46313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61914-2021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44501</v>
      </c>
      <c r="E508" s="1" t="n">
        <v>46313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46313</v>
      </c>
      <c r="F509" t="inlineStr">
        <is>
          <t>JÖNKÖPINGS LÄN</t>
        </is>
      </c>
      <c r="G509" t="inlineStr">
        <is>
          <t>GISLAVED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46313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46313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46313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46313</v>
      </c>
      <c r="F513" t="inlineStr">
        <is>
          <t>JÖNKÖPINGS LÄN</t>
        </is>
      </c>
      <c r="G513" t="inlineStr">
        <is>
          <t>GISLAVED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46313</v>
      </c>
      <c r="F514" t="inlineStr">
        <is>
          <t>JÖNKÖPINGS LÄN</t>
        </is>
      </c>
      <c r="G514" t="inlineStr">
        <is>
          <t>GISLAVED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60966-2021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44496</v>
      </c>
      <c r="E515" s="1" t="n">
        <v>46313</v>
      </c>
      <c r="F515" t="inlineStr">
        <is>
          <t>JÖNKÖPINGS LÄN</t>
        </is>
      </c>
      <c r="G515" t="inlineStr">
        <is>
          <t>GISLAVED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45315</v>
      </c>
      <c r="E516" s="1" t="n">
        <v>46313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45534</v>
      </c>
      <c r="E517" s="1" t="n">
        <v>46313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46313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46313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46313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45317</v>
      </c>
      <c r="E521" s="1" t="n">
        <v>46313</v>
      </c>
      <c r="F521" t="inlineStr">
        <is>
          <t>JÖNKÖPINGS LÄN</t>
        </is>
      </c>
      <c r="G521" t="inlineStr">
        <is>
          <t>GISLAVED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44935</v>
      </c>
      <c r="E522" s="1" t="n">
        <v>46313</v>
      </c>
      <c r="F522" t="inlineStr">
        <is>
          <t>JÖNKÖPINGS LÄN</t>
        </is>
      </c>
      <c r="G522" t="inlineStr">
        <is>
          <t>GISLAVED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46313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46313</v>
      </c>
      <c r="F524" t="inlineStr">
        <is>
          <t>JÖNKÖPINGS LÄN</t>
        </is>
      </c>
      <c r="G524" t="inlineStr">
        <is>
          <t>GISLAVED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46313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45089</v>
      </c>
      <c r="E526" s="1" t="n">
        <v>46313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46224</v>
      </c>
      <c r="E527" s="1" t="n">
        <v>46313</v>
      </c>
      <c r="F527" t="inlineStr">
        <is>
          <t>JÖNKÖPINGS LÄN</t>
        </is>
      </c>
      <c r="G527" t="inlineStr">
        <is>
          <t>GISLAVED</t>
        </is>
      </c>
      <c r="H527" t="inlineStr">
        <is>
          <t>Kyrkan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46313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46313</v>
      </c>
      <c r="F529" t="inlineStr">
        <is>
          <t>JÖNKÖPINGS LÄN</t>
        </is>
      </c>
      <c r="G529" t="inlineStr">
        <is>
          <t>GISLAVED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46313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46313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46313</v>
      </c>
      <c r="F532" t="inlineStr">
        <is>
          <t>JÖNKÖPINGS LÄN</t>
        </is>
      </c>
      <c r="G532" t="inlineStr">
        <is>
          <t>GISLAVED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44189-2024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46313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8182-2025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46313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46230</v>
      </c>
      <c r="E535" s="1" t="n">
        <v>46313</v>
      </c>
      <c r="F535" t="inlineStr">
        <is>
          <t>JÖNKÖPINGS LÄN</t>
        </is>
      </c>
      <c r="G535" t="inlineStr">
        <is>
          <t>GISLAVED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46232</v>
      </c>
      <c r="E536" s="1" t="n">
        <v>46313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46313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46232</v>
      </c>
      <c r="E538" s="1" t="n">
        <v>46313</v>
      </c>
      <c r="F538" t="inlineStr">
        <is>
          <t>JÖNKÖPINGS LÄN</t>
        </is>
      </c>
      <c r="G538" t="inlineStr">
        <is>
          <t>GISLAVED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45635</v>
      </c>
      <c r="E539" s="1" t="n">
        <v>46313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46313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46313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46313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46313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46313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32054-2026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46233</v>
      </c>
      <c r="E545" s="1" t="n">
        <v>46313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44757</v>
      </c>
      <c r="E546" s="1" t="n">
        <v>46313</v>
      </c>
      <c r="F546" t="inlineStr">
        <is>
          <t>JÖNKÖPINGS LÄN</t>
        </is>
      </c>
      <c r="G546" t="inlineStr">
        <is>
          <t>GISLAVED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46313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45717</v>
      </c>
      <c r="E548" s="1" t="n">
        <v>46313</v>
      </c>
      <c r="F548" t="inlineStr">
        <is>
          <t>JÖNKÖPINGS LÄN</t>
        </is>
      </c>
      <c r="G548" t="inlineStr">
        <is>
          <t>GISLAVED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45594</v>
      </c>
      <c r="E549" s="1" t="n">
        <v>46313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45125</v>
      </c>
      <c r="E550" s="1" t="n">
        <v>46313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46313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46313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46313</v>
      </c>
      <c r="F553" t="inlineStr">
        <is>
          <t>JÖNKÖPINGS LÄN</t>
        </is>
      </c>
      <c r="G553" t="inlineStr">
        <is>
          <t>GISLAVED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46237</v>
      </c>
      <c r="E554" s="1" t="n">
        <v>46313</v>
      </c>
      <c r="F554" t="inlineStr">
        <is>
          <t>JÖNKÖPINGS LÄN</t>
        </is>
      </c>
      <c r="G554" t="inlineStr">
        <is>
          <t>GISLAVED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46313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46313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45364</v>
      </c>
      <c r="E557" s="1" t="n">
        <v>46313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55486-2023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46313</v>
      </c>
      <c r="F558" t="inlineStr">
        <is>
          <t>JÖNKÖPINGS LÄN</t>
        </is>
      </c>
      <c r="G558" t="inlineStr">
        <is>
          <t>GISLAVED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45425</v>
      </c>
      <c r="E559" s="1" t="n">
        <v>46313</v>
      </c>
      <c r="F559" t="inlineStr">
        <is>
          <t>JÖNKÖPINGS LÄN</t>
        </is>
      </c>
      <c r="G559" t="inlineStr">
        <is>
          <t>GISLAVED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46313</v>
      </c>
      <c r="F560" t="inlineStr">
        <is>
          <t>JÖNKÖPINGS LÄN</t>
        </is>
      </c>
      <c r="G560" t="inlineStr">
        <is>
          <t>GISLAVED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46313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39335-2022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44817</v>
      </c>
      <c r="E562" s="1" t="n">
        <v>46313</v>
      </c>
      <c r="F562" t="inlineStr">
        <is>
          <t>JÖNKÖPINGS LÄN</t>
        </is>
      </c>
      <c r="G562" t="inlineStr">
        <is>
          <t>GISLAVED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46313</v>
      </c>
      <c r="F563" t="inlineStr">
        <is>
          <t>JÖNKÖPINGS LÄN</t>
        </is>
      </c>
      <c r="G563" t="inlineStr">
        <is>
          <t>GISLAVED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45100</v>
      </c>
      <c r="E564" s="1" t="n">
        <v>46313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45558</v>
      </c>
      <c r="E565" s="1" t="n">
        <v>46313</v>
      </c>
      <c r="F565" t="inlineStr">
        <is>
          <t>JÖNKÖPINGS LÄN</t>
        </is>
      </c>
      <c r="G565" t="inlineStr">
        <is>
          <t>GISLAVED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46313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46313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46313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37885-2024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46313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46313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46313</v>
      </c>
      <c r="F571" t="inlineStr">
        <is>
          <t>JÖNKÖPINGS LÄN</t>
        </is>
      </c>
      <c r="G571" t="inlineStr">
        <is>
          <t>GISLAVED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61891-2021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44502</v>
      </c>
      <c r="E572" s="1" t="n">
        <v>46313</v>
      </c>
      <c r="F572" t="inlineStr">
        <is>
          <t>JÖNKÖPINGS LÄN</t>
        </is>
      </c>
      <c r="G572" t="inlineStr">
        <is>
          <t>GISLAVED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46313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46313</v>
      </c>
      <c r="F574" t="inlineStr">
        <is>
          <t>JÖNKÖPINGS LÄN</t>
        </is>
      </c>
      <c r="G574" t="inlineStr">
        <is>
          <t>GISLAVED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46313</v>
      </c>
      <c r="F575" t="inlineStr">
        <is>
          <t>JÖNKÖPINGS LÄN</t>
        </is>
      </c>
      <c r="G575" t="inlineStr">
        <is>
          <t>GISLAVED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46286</v>
      </c>
      <c r="E576" s="1" t="n">
        <v>46313</v>
      </c>
      <c r="F576" t="inlineStr">
        <is>
          <t>JÖNKÖPINGS LÄN</t>
        </is>
      </c>
      <c r="G576" t="inlineStr">
        <is>
          <t>GISLAVED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46313</v>
      </c>
      <c r="F577" t="inlineStr">
        <is>
          <t>JÖNKÖPINGS LÄN</t>
        </is>
      </c>
      <c r="G577" t="inlineStr">
        <is>
          <t>GISLAVED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46313</v>
      </c>
      <c r="F578" t="inlineStr">
        <is>
          <t>JÖNKÖPINGS LÄN</t>
        </is>
      </c>
      <c r="G578" t="inlineStr">
        <is>
          <t>GISLAVED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45176</v>
      </c>
      <c r="E579" s="1" t="n">
        <v>46313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45509</v>
      </c>
      <c r="E580" s="1" t="n">
        <v>46313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46313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46313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45328</v>
      </c>
      <c r="E583" s="1" t="n">
        <v>46313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32684-2026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46240</v>
      </c>
      <c r="E584" s="1" t="n">
        <v>46313</v>
      </c>
      <c r="F584" t="inlineStr">
        <is>
          <t>JÖNKÖPINGS LÄN</t>
        </is>
      </c>
      <c r="G584" t="inlineStr">
        <is>
          <t>GISLAVED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46313</v>
      </c>
      <c r="F585" t="inlineStr">
        <is>
          <t>JÖNKÖPINGS LÄN</t>
        </is>
      </c>
      <c r="G585" t="inlineStr">
        <is>
          <t>GISLAVED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46313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46313</v>
      </c>
      <c r="F587" t="inlineStr">
        <is>
          <t>JÖNKÖPINGS LÄN</t>
        </is>
      </c>
      <c r="G587" t="inlineStr">
        <is>
          <t>GISLAVED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45026</v>
      </c>
      <c r="E588" s="1" t="n">
        <v>46313</v>
      </c>
      <c r="F588" t="inlineStr">
        <is>
          <t>JÖNKÖPINGS LÄN</t>
        </is>
      </c>
      <c r="G588" t="inlineStr">
        <is>
          <t>GISLAVED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46313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22111-2022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46313</v>
      </c>
      <c r="F590" t="inlineStr">
        <is>
          <t>JÖNKÖPINGS LÄN</t>
        </is>
      </c>
      <c r="G590" t="inlineStr">
        <is>
          <t>GISLAVED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46313</v>
      </c>
      <c r="F591" t="inlineStr">
        <is>
          <t>JÖNKÖPINGS LÄN</t>
        </is>
      </c>
      <c r="G591" t="inlineStr">
        <is>
          <t>GISLAVED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63269-2023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46313</v>
      </c>
      <c r="F592" t="inlineStr">
        <is>
          <t>JÖNKÖPINGS LÄN</t>
        </is>
      </c>
      <c r="G592" t="inlineStr">
        <is>
          <t>GISLAVED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45112</v>
      </c>
      <c r="E593" s="1" t="n">
        <v>46313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45607</v>
      </c>
      <c r="E594" s="1" t="n">
        <v>46313</v>
      </c>
      <c r="F594" t="inlineStr">
        <is>
          <t>JÖNKÖPINGS LÄN</t>
        </is>
      </c>
      <c r="G594" t="inlineStr">
        <is>
          <t>GISLAVED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46313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46290</v>
      </c>
      <c r="E596" s="1" t="n">
        <v>46313</v>
      </c>
      <c r="F596" t="inlineStr">
        <is>
          <t>JÖNKÖPINGS LÄN</t>
        </is>
      </c>
      <c r="G596" t="inlineStr">
        <is>
          <t>GISLAVED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46250</v>
      </c>
      <c r="E597" s="1" t="n">
        <v>46313</v>
      </c>
      <c r="F597" t="inlineStr">
        <is>
          <t>JÖNKÖPINGS LÄN</t>
        </is>
      </c>
      <c r="G597" t="inlineStr">
        <is>
          <t>GISLAVED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46313</v>
      </c>
      <c r="F598" t="inlineStr">
        <is>
          <t>JÖNKÖPINGS LÄN</t>
        </is>
      </c>
      <c r="G598" t="inlineStr">
        <is>
          <t>GISLAVED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45495</v>
      </c>
      <c r="E599" s="1" t="n">
        <v>46313</v>
      </c>
      <c r="F599" t="inlineStr">
        <is>
          <t>JÖNKÖPINGS LÄN</t>
        </is>
      </c>
      <c r="G599" t="inlineStr">
        <is>
          <t>GISLAVED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46313</v>
      </c>
      <c r="F600" t="inlineStr">
        <is>
          <t>JÖNKÖPINGS LÄN</t>
        </is>
      </c>
      <c r="G600" t="inlineStr">
        <is>
          <t>GISLAVED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39525-2023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45167</v>
      </c>
      <c r="E601" s="1" t="n">
        <v>46313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30047-2024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45488</v>
      </c>
      <c r="E602" s="1" t="n">
        <v>46313</v>
      </c>
      <c r="F602" t="inlineStr">
        <is>
          <t>JÖNKÖPINGS LÄN</t>
        </is>
      </c>
      <c r="G602" t="inlineStr">
        <is>
          <t>GISLAVED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46313</v>
      </c>
      <c r="F603" t="inlineStr">
        <is>
          <t>JÖNKÖPINGS LÄN</t>
        </is>
      </c>
      <c r="G603" t="inlineStr">
        <is>
          <t>GISLAVED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46313</v>
      </c>
      <c r="F604" t="inlineStr">
        <is>
          <t>JÖNKÖPINGS LÄN</t>
        </is>
      </c>
      <c r="G604" t="inlineStr">
        <is>
          <t>GISLAVED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46313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44943</v>
      </c>
      <c r="E606" s="1" t="n">
        <v>46313</v>
      </c>
      <c r="F606" t="inlineStr">
        <is>
          <t>JÖNKÖPINGS LÄN</t>
        </is>
      </c>
      <c r="G606" t="inlineStr">
        <is>
          <t>GISLAVED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45222</v>
      </c>
      <c r="E607" s="1" t="n">
        <v>46313</v>
      </c>
      <c r="F607" t="inlineStr">
        <is>
          <t>JÖNKÖPINGS LÄN</t>
        </is>
      </c>
      <c r="G607" t="inlineStr">
        <is>
          <t>GISLAVED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45117</v>
      </c>
      <c r="E608" s="1" t="n">
        <v>46313</v>
      </c>
      <c r="F608" t="inlineStr">
        <is>
          <t>JÖNKÖPINGS LÄN</t>
        </is>
      </c>
      <c r="G608" t="inlineStr">
        <is>
          <t>GISLAVED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46313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28402-2023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45100</v>
      </c>
      <c r="E610" s="1" t="n">
        <v>46313</v>
      </c>
      <c r="F610" t="inlineStr">
        <is>
          <t>JÖNKÖPINGS LÄN</t>
        </is>
      </c>
      <c r="G610" t="inlineStr">
        <is>
          <t>GISLAVED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44776</v>
      </c>
      <c r="E611" s="1" t="n">
        <v>46313</v>
      </c>
      <c r="F611" t="inlineStr">
        <is>
          <t>JÖNKÖPINGS LÄN</t>
        </is>
      </c>
      <c r="G611" t="inlineStr">
        <is>
          <t>GISLAVED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45189</v>
      </c>
      <c r="E612" s="1" t="n">
        <v>46313</v>
      </c>
      <c r="F612" t="inlineStr">
        <is>
          <t>JÖNKÖPINGS LÄN</t>
        </is>
      </c>
      <c r="G612" t="inlineStr">
        <is>
          <t>GISLAVED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58368-2021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44488</v>
      </c>
      <c r="E613" s="1" t="n">
        <v>46313</v>
      </c>
      <c r="F613" t="inlineStr">
        <is>
          <t>JÖNKÖPINGS LÄN</t>
        </is>
      </c>
      <c r="G613" t="inlineStr">
        <is>
          <t>GISLAVED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46313</v>
      </c>
      <c r="F614" t="inlineStr">
        <is>
          <t>JÖNKÖPINGS LÄN</t>
        </is>
      </c>
      <c r="G614" t="inlineStr">
        <is>
          <t>GISLAVED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46313</v>
      </c>
      <c r="F615" t="inlineStr">
        <is>
          <t>JÖNKÖPINGS LÄN</t>
        </is>
      </c>
      <c r="G615" t="inlineStr">
        <is>
          <t>GISLAVED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46313</v>
      </c>
      <c r="F616" t="inlineStr">
        <is>
          <t>JÖNKÖPINGS LÄN</t>
        </is>
      </c>
      <c r="G616" t="inlineStr">
        <is>
          <t>GISLAVED</t>
        </is>
      </c>
      <c r="H616" t="inlineStr">
        <is>
          <t>Kommuner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46313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46254</v>
      </c>
      <c r="E618" s="1" t="n">
        <v>46313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46313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56718-2025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46313</v>
      </c>
      <c r="F620" t="inlineStr">
        <is>
          <t>JÖNKÖPINGS LÄN</t>
        </is>
      </c>
      <c r="G620" t="inlineStr">
        <is>
          <t>GISLAVED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45735</v>
      </c>
      <c r="E621" s="1" t="n">
        <v>46313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45733</v>
      </c>
      <c r="E622" s="1" t="n">
        <v>46313</v>
      </c>
      <c r="F622" t="inlineStr">
        <is>
          <t>JÖNKÖPINGS LÄN</t>
        </is>
      </c>
      <c r="G622" t="inlineStr">
        <is>
          <t>GISLAVED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46301</v>
      </c>
      <c r="E623" s="1" t="n">
        <v>46313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46257</v>
      </c>
      <c r="E624" s="1" t="n">
        <v>46313</v>
      </c>
      <c r="F624" t="inlineStr">
        <is>
          <t>JÖNKÖPINGS LÄN</t>
        </is>
      </c>
      <c r="G624" t="inlineStr">
        <is>
          <t>GISLAVED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46301</v>
      </c>
      <c r="E625" s="1" t="n">
        <v>46313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46313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46301</v>
      </c>
      <c r="E627" s="1" t="n">
        <v>46313</v>
      </c>
      <c r="F627" t="inlineStr">
        <is>
          <t>JÖNKÖPINGS LÄN</t>
        </is>
      </c>
      <c r="G627" t="inlineStr">
        <is>
          <t>GISLAVED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45488</v>
      </c>
      <c r="E628" s="1" t="n">
        <v>46313</v>
      </c>
      <c r="F628" t="inlineStr">
        <is>
          <t>JÖNKÖPINGS LÄN</t>
        </is>
      </c>
      <c r="G628" t="inlineStr">
        <is>
          <t>GISLAVED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10386-2024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46313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46313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45637</v>
      </c>
      <c r="E631" s="1" t="n">
        <v>46313</v>
      </c>
      <c r="F631" t="inlineStr">
        <is>
          <t>JÖNKÖPINGS LÄN</t>
        </is>
      </c>
      <c r="G631" t="inlineStr">
        <is>
          <t>GISLAVED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45637</v>
      </c>
      <c r="E632" s="1" t="n">
        <v>46313</v>
      </c>
      <c r="F632" t="inlineStr">
        <is>
          <t>JÖNKÖPINGS LÄN</t>
        </is>
      </c>
      <c r="G632" t="inlineStr">
        <is>
          <t>GISLAVED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24923-2026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46313</v>
      </c>
      <c r="F633" t="inlineStr">
        <is>
          <t>JÖNKÖPINGS LÄN</t>
        </is>
      </c>
      <c r="G633" t="inlineStr">
        <is>
          <t>GISLAVED</t>
        </is>
      </c>
      <c r="H633" t="inlineStr">
        <is>
          <t>Kommuner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46300</v>
      </c>
      <c r="E634" s="1" t="n">
        <v>46313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46313</v>
      </c>
      <c r="F635" t="inlineStr">
        <is>
          <t>JÖNKÖPINGS LÄN</t>
        </is>
      </c>
      <c r="G635" t="inlineStr">
        <is>
          <t>GISLAVED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46313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46301</v>
      </c>
      <c r="E637" s="1" t="n">
        <v>46313</v>
      </c>
      <c r="F637" t="inlineStr">
        <is>
          <t>JÖNKÖPINGS LÄN</t>
        </is>
      </c>
      <c r="G637" t="inlineStr">
        <is>
          <t>GISLAVED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45784</v>
      </c>
      <c r="E638" s="1" t="n">
        <v>46313</v>
      </c>
      <c r="F638" t="inlineStr">
        <is>
          <t>JÖNKÖPINGS LÄN</t>
        </is>
      </c>
      <c r="G638" t="inlineStr">
        <is>
          <t>GISLAVED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59804-2024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45639</v>
      </c>
      <c r="E639" s="1" t="n">
        <v>46313</v>
      </c>
      <c r="F639" t="inlineStr">
        <is>
          <t>JÖNKÖPINGS LÄN</t>
        </is>
      </c>
      <c r="G639" t="inlineStr">
        <is>
          <t>GISLAVED</t>
        </is>
      </c>
      <c r="I639" t="n">
        <v>11.1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45511</v>
      </c>
      <c r="E640" s="1" t="n">
        <v>46313</v>
      </c>
      <c r="F640" t="inlineStr">
        <is>
          <t>JÖNKÖPINGS LÄN</t>
        </is>
      </c>
      <c r="G640" t="inlineStr">
        <is>
          <t>GISLAVED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45678</v>
      </c>
      <c r="E641" s="1" t="n">
        <v>46313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46313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41886-2026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46303</v>
      </c>
      <c r="E643" s="1" t="n">
        <v>46313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46313</v>
      </c>
      <c r="F644" t="inlineStr">
        <is>
          <t>JÖNKÖPINGS LÄN</t>
        </is>
      </c>
      <c r="G644" t="inlineStr">
        <is>
          <t>GISLAVED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46313</v>
      </c>
      <c r="F645" t="inlineStr">
        <is>
          <t>JÖNKÖPINGS LÄN</t>
        </is>
      </c>
      <c r="G645" t="inlineStr">
        <is>
          <t>GISLAVED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52233-2022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44873</v>
      </c>
      <c r="E646" s="1" t="n">
        <v>46313</v>
      </c>
      <c r="F646" t="inlineStr">
        <is>
          <t>JÖNKÖPINGS LÄN</t>
        </is>
      </c>
      <c r="G646" t="inlineStr">
        <is>
          <t>GISLAVED</t>
        </is>
      </c>
      <c r="H646" t="inlineStr">
        <is>
          <t>Kyrkan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39654-2024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45552</v>
      </c>
      <c r="E647" s="1" t="n">
        <v>46313</v>
      </c>
      <c r="F647" t="inlineStr">
        <is>
          <t>JÖNKÖPINGS LÄN</t>
        </is>
      </c>
      <c r="G647" t="inlineStr">
        <is>
          <t>GISLAVED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44977</v>
      </c>
      <c r="E648" s="1" t="n">
        <v>46313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46313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45481</v>
      </c>
      <c r="E650" s="1" t="n">
        <v>46313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46313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45729</v>
      </c>
      <c r="E652" s="1" t="n">
        <v>46313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45799</v>
      </c>
      <c r="E653" s="1" t="n">
        <v>46313</v>
      </c>
      <c r="F653" t="inlineStr">
        <is>
          <t>JÖNKÖPINGS LÄN</t>
        </is>
      </c>
      <c r="G653" t="inlineStr">
        <is>
          <t>GISLAVED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46313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14317-2025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45740</v>
      </c>
      <c r="E655" s="1" t="n">
        <v>46313</v>
      </c>
      <c r="F655" t="inlineStr">
        <is>
          <t>JÖNKÖPINGS LÄN</t>
        </is>
      </c>
      <c r="G655" t="inlineStr">
        <is>
          <t>GISLAVED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46313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46313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11912-2025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45728</v>
      </c>
      <c r="E658" s="1" t="n">
        <v>46313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11905-2025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45728</v>
      </c>
      <c r="E659" s="1" t="n">
        <v>46313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45494</v>
      </c>
      <c r="E660" s="1" t="n">
        <v>46313</v>
      </c>
      <c r="F660" t="inlineStr">
        <is>
          <t>JÖNKÖPINGS LÄN</t>
        </is>
      </c>
      <c r="G660" t="inlineStr">
        <is>
          <t>GISLAVED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12458-2025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45730</v>
      </c>
      <c r="E661" s="1" t="n">
        <v>46313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45803</v>
      </c>
      <c r="E662" s="1" t="n">
        <v>46313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42533-2026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46308</v>
      </c>
      <c r="E663" s="1" t="n">
        <v>46313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46266</v>
      </c>
      <c r="E664" s="1" t="n">
        <v>46313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46313</v>
      </c>
      <c r="F665" t="inlineStr">
        <is>
          <t>JÖNKÖPINGS LÄN</t>
        </is>
      </c>
      <c r="G665" t="inlineStr">
        <is>
          <t>GISLAVED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26093-2025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46313</v>
      </c>
      <c r="F666" t="inlineStr">
        <is>
          <t>JÖNKÖPINGS LÄN</t>
        </is>
      </c>
      <c r="G666" t="inlineStr">
        <is>
          <t>GISLAVED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46313</v>
      </c>
      <c r="F667" t="inlineStr">
        <is>
          <t>JÖNKÖPINGS LÄN</t>
        </is>
      </c>
      <c r="G667" t="inlineStr">
        <is>
          <t>GISLAVED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41274-2026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46300</v>
      </c>
      <c r="E668" s="1" t="n">
        <v>46313</v>
      </c>
      <c r="F668" t="inlineStr">
        <is>
          <t>JÖNKÖPINGS LÄN</t>
        </is>
      </c>
      <c r="G668" t="inlineStr">
        <is>
          <t>GISLAVED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45810</v>
      </c>
      <c r="E669" s="1" t="n">
        <v>46313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46313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45617</v>
      </c>
      <c r="E671" s="1" t="n">
        <v>46313</v>
      </c>
      <c r="F671" t="inlineStr">
        <is>
          <t>JÖNKÖPINGS LÄN</t>
        </is>
      </c>
      <c r="G671" t="inlineStr">
        <is>
          <t>GISLAVED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46313</v>
      </c>
      <c r="F672" t="inlineStr">
        <is>
          <t>JÖNKÖPINGS LÄN</t>
        </is>
      </c>
      <c r="G672" t="inlineStr">
        <is>
          <t>GISLAVED</t>
        </is>
      </c>
      <c r="H672" t="inlineStr">
        <is>
          <t>Kyrkan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46308</v>
      </c>
      <c r="E673" s="1" t="n">
        <v>46313</v>
      </c>
      <c r="F673" t="inlineStr">
        <is>
          <t>JÖNKÖPINGS LÄN</t>
        </is>
      </c>
      <c r="G673" t="inlineStr">
        <is>
          <t>GISLAVED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46313</v>
      </c>
      <c r="F674" t="inlineStr">
        <is>
          <t>JÖNKÖPINGS LÄN</t>
        </is>
      </c>
      <c r="G674" t="inlineStr">
        <is>
          <t>GISLAVED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36330-2026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46268</v>
      </c>
      <c r="E675" s="1" t="n">
        <v>46313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27333-2025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46313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46313</v>
      </c>
      <c r="F677" t="inlineStr">
        <is>
          <t>JÖNKÖPINGS LÄN</t>
        </is>
      </c>
      <c r="G677" t="inlineStr">
        <is>
          <t>GISLAVED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27598-2025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46313</v>
      </c>
      <c r="F678" t="inlineStr">
        <is>
          <t>JÖNKÖPINGS LÄN</t>
        </is>
      </c>
      <c r="G678" t="inlineStr">
        <is>
          <t>GISLAVED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42994-2026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46310</v>
      </c>
      <c r="E679" s="1" t="n">
        <v>46313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45811</v>
      </c>
      <c r="E680" s="1" t="n">
        <v>46313</v>
      </c>
      <c r="F680" t="inlineStr">
        <is>
          <t>JÖNKÖPINGS LÄN</t>
        </is>
      </c>
      <c r="G680" t="inlineStr">
        <is>
          <t>GISLAVED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45813</v>
      </c>
      <c r="E681" s="1" t="n">
        <v>46313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46313</v>
      </c>
      <c r="F682" t="inlineStr">
        <is>
          <t>JÖNKÖPINGS LÄN</t>
        </is>
      </c>
      <c r="G682" t="inlineStr">
        <is>
          <t>GISLAVED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36098-2026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46313</v>
      </c>
      <c r="F683" t="inlineStr">
        <is>
          <t>JÖNKÖPINGS LÄN</t>
        </is>
      </c>
      <c r="G683" t="inlineStr">
        <is>
          <t>GISLAVED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46313</v>
      </c>
      <c r="F684" t="inlineStr">
        <is>
          <t>JÖNKÖPINGS LÄN</t>
        </is>
      </c>
      <c r="G684" t="inlineStr">
        <is>
          <t>GISLAVED</t>
        </is>
      </c>
      <c r="H684" t="inlineStr">
        <is>
          <t>Kyrkan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46313</v>
      </c>
      <c r="F685" t="inlineStr">
        <is>
          <t>JÖNKÖPINGS LÄN</t>
        </is>
      </c>
      <c r="G685" t="inlineStr">
        <is>
          <t>GISLAVED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45748</v>
      </c>
      <c r="E686" s="1" t="n">
        <v>46313</v>
      </c>
      <c r="F686" t="inlineStr">
        <is>
          <t>JÖNKÖPINGS LÄN</t>
        </is>
      </c>
      <c r="G686" t="inlineStr">
        <is>
          <t>GISLAVED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45753</v>
      </c>
      <c r="E687" s="1" t="n">
        <v>46313</v>
      </c>
      <c r="F687" t="inlineStr">
        <is>
          <t>JÖNKÖPINGS LÄN</t>
        </is>
      </c>
      <c r="G687" t="inlineStr">
        <is>
          <t>GISLAVED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28810-2025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45820</v>
      </c>
      <c r="E688" s="1" t="n">
        <v>46313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46310</v>
      </c>
      <c r="E689" s="1" t="n">
        <v>46313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46313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29720-2025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45825</v>
      </c>
      <c r="E691" s="1" t="n">
        <v>46313</v>
      </c>
      <c r="F691" t="inlineStr">
        <is>
          <t>JÖNKÖPINGS LÄN</t>
        </is>
      </c>
      <c r="G691" t="inlineStr">
        <is>
          <t>GISLAVED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45825</v>
      </c>
      <c r="E692" s="1" t="n">
        <v>46313</v>
      </c>
      <c r="F692" t="inlineStr">
        <is>
          <t>JÖNKÖPINGS LÄN</t>
        </is>
      </c>
      <c r="G692" t="inlineStr">
        <is>
          <t>GISLAVED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29717-2025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45825</v>
      </c>
      <c r="E693" s="1" t="n">
        <v>46313</v>
      </c>
      <c r="F693" t="inlineStr">
        <is>
          <t>JÖNKÖPINGS LÄN</t>
        </is>
      </c>
      <c r="G693" t="inlineStr">
        <is>
          <t>GISLAVED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46313</v>
      </c>
      <c r="F694" t="inlineStr">
        <is>
          <t>JÖNKÖPINGS LÄN</t>
        </is>
      </c>
      <c r="G694" t="inlineStr">
        <is>
          <t>GISLAVED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46313</v>
      </c>
      <c r="F695" t="inlineStr">
        <is>
          <t>JÖNKÖPINGS LÄN</t>
        </is>
      </c>
      <c r="G695" t="inlineStr">
        <is>
          <t>GISLAVED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30519-2025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46313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46313</v>
      </c>
      <c r="F697" t="inlineStr">
        <is>
          <t>JÖNKÖPINGS LÄN</t>
        </is>
      </c>
      <c r="G697" t="inlineStr">
        <is>
          <t>GISLAVED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24005-2025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46313</v>
      </c>
      <c r="F698" t="inlineStr">
        <is>
          <t>JÖNKÖPINGS LÄN</t>
        </is>
      </c>
      <c r="G698" t="inlineStr">
        <is>
          <t>GISLAVED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16717-2025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45754</v>
      </c>
      <c r="E699" s="1" t="n">
        <v>46313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36010-2025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45863</v>
      </c>
      <c r="E700" s="1" t="n">
        <v>46313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44721</v>
      </c>
      <c r="E701" s="1" t="n">
        <v>46313</v>
      </c>
      <c r="F701" t="inlineStr">
        <is>
          <t>JÖNKÖPINGS LÄN</t>
        </is>
      </c>
      <c r="G701" t="inlineStr">
        <is>
          <t>GISLAVED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22173-2022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44712</v>
      </c>
      <c r="E702" s="1" t="n">
        <v>46313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22176-2022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44712</v>
      </c>
      <c r="E703" s="1" t="n">
        <v>46313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44739</v>
      </c>
      <c r="E704" s="1" t="n">
        <v>46313</v>
      </c>
      <c r="F704" t="inlineStr">
        <is>
          <t>JÖNKÖPINGS LÄN</t>
        </is>
      </c>
      <c r="G704" t="inlineStr">
        <is>
          <t>GISLAVED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34995-2025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45849</v>
      </c>
      <c r="E705" s="1" t="n">
        <v>46313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59747-2022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46313</v>
      </c>
      <c r="F706" t="inlineStr">
        <is>
          <t>JÖNKÖPINGS LÄN</t>
        </is>
      </c>
      <c r="G706" t="inlineStr">
        <is>
          <t>GISLAVED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41625-2023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46313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46313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46313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45721</v>
      </c>
      <c r="E710" s="1" t="n">
        <v>46313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44970</v>
      </c>
      <c r="E711" s="1" t="n">
        <v>46313</v>
      </c>
      <c r="F711" t="inlineStr">
        <is>
          <t>JÖNKÖPINGS LÄN</t>
        </is>
      </c>
      <c r="G711" t="inlineStr">
        <is>
          <t>GISLAVED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38347-2022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46313</v>
      </c>
      <c r="F712" t="inlineStr">
        <is>
          <t>JÖNKÖPINGS LÄN</t>
        </is>
      </c>
      <c r="G712" t="inlineStr">
        <is>
          <t>GISLAVED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46313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30923-2024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46313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45665</v>
      </c>
      <c r="E715" s="1" t="n">
        <v>46313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22168-2022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44712</v>
      </c>
      <c r="E716" s="1" t="n">
        <v>46313</v>
      </c>
      <c r="F716" t="inlineStr">
        <is>
          <t>JÖNKÖPINGS LÄN</t>
        </is>
      </c>
      <c r="G716" t="inlineStr">
        <is>
          <t>GISLAVED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46313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44958</v>
      </c>
      <c r="E718" s="1" t="n">
        <v>46313</v>
      </c>
      <c r="F718" t="inlineStr">
        <is>
          <t>JÖNKÖPINGS LÄN</t>
        </is>
      </c>
      <c r="G718" t="inlineStr">
        <is>
          <t>GISLAVED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45395</v>
      </c>
      <c r="E719" s="1" t="n">
        <v>46313</v>
      </c>
      <c r="F719" t="inlineStr">
        <is>
          <t>JÖNKÖPINGS LÄN</t>
        </is>
      </c>
      <c r="G719" t="inlineStr">
        <is>
          <t>GISLAVED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33274-2024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45518</v>
      </c>
      <c r="E720" s="1" t="n">
        <v>46313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46313</v>
      </c>
      <c r="F721" t="inlineStr">
        <is>
          <t>JÖNKÖPINGS LÄN</t>
        </is>
      </c>
      <c r="G721" t="inlineStr">
        <is>
          <t>GISLAVED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45873</v>
      </c>
      <c r="E722" s="1" t="n">
        <v>46313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60653-2021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44496</v>
      </c>
      <c r="E723" s="1" t="n">
        <v>46313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45873</v>
      </c>
      <c r="E724" s="1" t="n">
        <v>46313</v>
      </c>
      <c r="F724" t="inlineStr">
        <is>
          <t>JÖNKÖPINGS LÄN</t>
        </is>
      </c>
      <c r="G724" t="inlineStr">
        <is>
          <t>GISLAVED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45465</v>
      </c>
      <c r="E725" s="1" t="n">
        <v>46313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46313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45607</v>
      </c>
      <c r="E727" s="1" t="n">
        <v>46313</v>
      </c>
      <c r="F727" t="inlineStr">
        <is>
          <t>JÖNKÖPINGS LÄN</t>
        </is>
      </c>
      <c r="G727" t="inlineStr">
        <is>
          <t>GISLAVED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45611</v>
      </c>
      <c r="E728" s="1" t="n">
        <v>46313</v>
      </c>
      <c r="F728" t="inlineStr">
        <is>
          <t>JÖNKÖPINGS LÄN</t>
        </is>
      </c>
      <c r="G728" t="inlineStr">
        <is>
          <t>GISLAVED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44958</v>
      </c>
      <c r="E729" s="1" t="n">
        <v>46313</v>
      </c>
      <c r="F729" t="inlineStr">
        <is>
          <t>JÖNKÖPINGS LÄN</t>
        </is>
      </c>
      <c r="G729" t="inlineStr">
        <is>
          <t>GISLAVED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25755-2024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45465</v>
      </c>
      <c r="E730" s="1" t="n">
        <v>46313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25753-2024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45465</v>
      </c>
      <c r="E731" s="1" t="n">
        <v>46313</v>
      </c>
      <c r="F731" t="inlineStr">
        <is>
          <t>JÖNKÖPINGS LÄN</t>
        </is>
      </c>
      <c r="G731" t="inlineStr">
        <is>
          <t>GISLAVED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45465</v>
      </c>
      <c r="E732" s="1" t="n">
        <v>46313</v>
      </c>
      <c r="F732" t="inlineStr">
        <is>
          <t>JÖNKÖPINGS LÄN</t>
        </is>
      </c>
      <c r="G732" t="inlineStr">
        <is>
          <t>GISLAVED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45395</v>
      </c>
      <c r="E733" s="1" t="n">
        <v>46313</v>
      </c>
      <c r="F733" t="inlineStr">
        <is>
          <t>JÖNKÖPINGS LÄN</t>
        </is>
      </c>
      <c r="G733" t="inlineStr">
        <is>
          <t>GISLAVED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37811-2022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46313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45077</v>
      </c>
      <c r="E735" s="1" t="n">
        <v>46313</v>
      </c>
      <c r="F735" t="inlineStr">
        <is>
          <t>JÖNKÖPINGS LÄN</t>
        </is>
      </c>
      <c r="G735" t="inlineStr">
        <is>
          <t>GISLAVED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45245</v>
      </c>
      <c r="E736" s="1" t="n">
        <v>46313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45876</v>
      </c>
      <c r="E737" s="1" t="n">
        <v>46313</v>
      </c>
      <c r="F737" t="inlineStr">
        <is>
          <t>JÖNKÖPINGS LÄN</t>
        </is>
      </c>
      <c r="G737" t="inlineStr">
        <is>
          <t>GISLAVED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45876</v>
      </c>
      <c r="E738" s="1" t="n">
        <v>46313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37732-2025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45880</v>
      </c>
      <c r="E739" s="1" t="n">
        <v>46313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45880</v>
      </c>
      <c r="E740" s="1" t="n">
        <v>46313</v>
      </c>
      <c r="F740" t="inlineStr">
        <is>
          <t>JÖNKÖPINGS LÄN</t>
        </is>
      </c>
      <c r="G740" t="inlineStr">
        <is>
          <t>GISLAVED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46313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38210-2025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46313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46313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46313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46313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46313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46313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46313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46313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46313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46313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46313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46313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46313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46313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46313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46313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46313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46313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46313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46313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46313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46313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46313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46313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46313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46313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46313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46313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46313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46313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46313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46313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46313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46313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46313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46313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2026-10-18T08:04:39Z</dcterms:created>
  <dcterms:modified xmlns:dcterms="http://purl.org/dc/terms/" xmlns:xsi="http://www.w3.org/2001/XMLSchema-instance" xsi:type="dcterms:W3CDTF">2026-10-18T08:04:40Z</dcterms:modified>
</cp:coreProperties>
</file>