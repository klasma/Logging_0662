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45662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45662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45662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45662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30046-2024</t>
        </is>
      </c>
      <c r="B6" s="1" t="n">
        <v>45488</v>
      </c>
      <c r="C6" s="1" t="n">
        <v>45662</v>
      </c>
      <c r="D6" t="inlineStr">
        <is>
          <t>JÖNKÖPINGS LÄN</t>
        </is>
      </c>
      <c r="E6" t="inlineStr">
        <is>
          <t>GISLAVED</t>
        </is>
      </c>
      <c r="G6" t="n">
        <v>1.2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Större brunfladdermus</t>
        </is>
      </c>
      <c r="S6">
        <f>HYPERLINK("https://klasma.github.io/Logging_0662/artfynd/A 30046-2024 artfynd.xlsx", "A 30046-2024")</f>
        <v/>
      </c>
      <c r="T6">
        <f>HYPERLINK("https://klasma.github.io/Logging_0662/kartor/A 30046-2024 karta.png", "A 30046-2024")</f>
        <v/>
      </c>
      <c r="V6">
        <f>HYPERLINK("https://klasma.github.io/Logging_0662/klagomål/A 30046-2024 FSC-klagomål.docx", "A 30046-2024")</f>
        <v/>
      </c>
      <c r="W6">
        <f>HYPERLINK("https://klasma.github.io/Logging_0662/klagomålsmail/A 30046-2024 FSC-klagomål mail.docx", "A 30046-2024")</f>
        <v/>
      </c>
      <c r="X6">
        <f>HYPERLINK("https://klasma.github.io/Logging_0662/tillsyn/A 30046-2024 tillsynsbegäran.docx", "A 30046-2024")</f>
        <v/>
      </c>
      <c r="Y6">
        <f>HYPERLINK("https://klasma.github.io/Logging_0662/tillsynsmail/A 30046-2024 tillsynsbegäran mail.docx", "A 30046-2024")</f>
        <v/>
      </c>
    </row>
    <row r="7" ht="15" customHeight="1">
      <c r="A7" t="inlineStr">
        <is>
          <t>A 37345-2019</t>
        </is>
      </c>
      <c r="B7" s="1" t="n">
        <v>43678</v>
      </c>
      <c r="C7" s="1" t="n">
        <v>45662</v>
      </c>
      <c r="D7" t="inlineStr">
        <is>
          <t>JÖNKÖPINGS LÄN</t>
        </is>
      </c>
      <c r="E7" t="inlineStr">
        <is>
          <t>GISLAVED</t>
        </is>
      </c>
      <c r="G7" t="n">
        <v>0.5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Sandödla</t>
        </is>
      </c>
      <c r="S7">
        <f>HYPERLINK("https://klasma.github.io/Logging_0662/artfynd/A 37345-2019 artfynd.xlsx", "A 37345-2019")</f>
        <v/>
      </c>
      <c r="T7">
        <f>HYPERLINK("https://klasma.github.io/Logging_0662/kartor/A 37345-2019 karta.png", "A 37345-2019")</f>
        <v/>
      </c>
      <c r="V7">
        <f>HYPERLINK("https://klasma.github.io/Logging_0662/klagomål/A 37345-2019 FSC-klagomål.docx", "A 37345-2019")</f>
        <v/>
      </c>
      <c r="W7">
        <f>HYPERLINK("https://klasma.github.io/Logging_0662/klagomålsmail/A 37345-2019 FSC-klagomål mail.docx", "A 37345-2019")</f>
        <v/>
      </c>
      <c r="X7">
        <f>HYPERLINK("https://klasma.github.io/Logging_0662/tillsyn/A 37345-2019 tillsynsbegäran.docx", "A 37345-2019")</f>
        <v/>
      </c>
      <c r="Y7">
        <f>HYPERLINK("https://klasma.github.io/Logging_0662/tillsynsmail/A 37345-2019 tillsynsbegäran mail.docx", "A 37345-2019")</f>
        <v/>
      </c>
    </row>
    <row r="8" ht="15" customHeight="1">
      <c r="A8" t="inlineStr">
        <is>
          <t>A 1319-2021</t>
        </is>
      </c>
      <c r="B8" s="1" t="n">
        <v>44208</v>
      </c>
      <c r="C8" s="1" t="n">
        <v>45662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Backtimjan</t>
        </is>
      </c>
      <c r="S8">
        <f>HYPERLINK("https://klasma.github.io/Logging_0662/artfynd/A 1319-2021 artfynd.xlsx", "A 1319-2021")</f>
        <v/>
      </c>
      <c r="T8">
        <f>HYPERLINK("https://klasma.github.io/Logging_0662/kartor/A 1319-2021 karta.png", "A 1319-2021")</f>
        <v/>
      </c>
      <c r="V8">
        <f>HYPERLINK("https://klasma.github.io/Logging_0662/klagomål/A 1319-2021 FSC-klagomål.docx", "A 1319-2021")</f>
        <v/>
      </c>
      <c r="W8">
        <f>HYPERLINK("https://klasma.github.io/Logging_0662/klagomålsmail/A 1319-2021 FSC-klagomål mail.docx", "A 1319-2021")</f>
        <v/>
      </c>
      <c r="X8">
        <f>HYPERLINK("https://klasma.github.io/Logging_0662/tillsyn/A 1319-2021 tillsynsbegäran.docx", "A 1319-2021")</f>
        <v/>
      </c>
      <c r="Y8">
        <f>HYPERLINK("https://klasma.github.io/Logging_0662/tillsynsmail/A 1319-2021 tillsynsbegäran mail.docx", "A 1319-2021")</f>
        <v/>
      </c>
    </row>
    <row r="9" ht="15" customHeight="1">
      <c r="A9" t="inlineStr">
        <is>
          <t>A 69075-2021</t>
        </is>
      </c>
      <c r="B9" s="1" t="n">
        <v>44530</v>
      </c>
      <c r="C9" s="1" t="n">
        <v>45662</v>
      </c>
      <c r="D9" t="inlineStr">
        <is>
          <t>JÖNKÖPINGS LÄN</t>
        </is>
      </c>
      <c r="E9" t="inlineStr">
        <is>
          <t>GISLAVED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HYPERLINK("https://klasma.github.io/Logging_0662/artfynd/A 69075-2021 artfynd.xlsx", "A 69075-2021")</f>
        <v/>
      </c>
      <c r="T9">
        <f>HYPERLINK("https://klasma.github.io/Logging_0662/kartor/A 69075-2021 karta.png", "A 69075-2021")</f>
        <v/>
      </c>
      <c r="V9">
        <f>HYPERLINK("https://klasma.github.io/Logging_0662/klagomål/A 69075-2021 FSC-klagomål.docx", "A 69075-2021")</f>
        <v/>
      </c>
      <c r="W9">
        <f>HYPERLINK("https://klasma.github.io/Logging_0662/klagomålsmail/A 69075-2021 FSC-klagomål mail.docx", "A 69075-2021")</f>
        <v/>
      </c>
      <c r="X9">
        <f>HYPERLINK("https://klasma.github.io/Logging_0662/tillsyn/A 69075-2021 tillsynsbegäran.docx", "A 69075-2021")</f>
        <v/>
      </c>
      <c r="Y9">
        <f>HYPERLINK("https://klasma.github.io/Logging_0662/tillsynsmail/A 69075-2021 tillsynsbegäran mail.docx", "A 69075-2021")</f>
        <v/>
      </c>
    </row>
    <row r="10" ht="15" customHeight="1">
      <c r="A10" t="inlineStr">
        <is>
          <t>A 27358-2022</t>
        </is>
      </c>
      <c r="B10" s="1" t="n">
        <v>44742</v>
      </c>
      <c r="C10" s="1" t="n">
        <v>45662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HYPERLINK("https://klasma.github.io/Logging_0662/artfynd/A 27358-2022 artfynd.xlsx", "A 27358-2022")</f>
        <v/>
      </c>
      <c r="T10">
        <f>HYPERLINK("https://klasma.github.io/Logging_0662/kartor/A 27358-2022 karta.png", "A 27358-2022")</f>
        <v/>
      </c>
      <c r="V10">
        <f>HYPERLINK("https://klasma.github.io/Logging_0662/klagomål/A 27358-2022 FSC-klagomål.docx", "A 27358-2022")</f>
        <v/>
      </c>
      <c r="W10">
        <f>HYPERLINK("https://klasma.github.io/Logging_0662/klagomålsmail/A 27358-2022 FSC-klagomål mail.docx", "A 27358-2022")</f>
        <v/>
      </c>
      <c r="X10">
        <f>HYPERLINK("https://klasma.github.io/Logging_0662/tillsyn/A 27358-2022 tillsynsbegäran.docx", "A 27358-2022")</f>
        <v/>
      </c>
      <c r="Y10">
        <f>HYPERLINK("https://klasma.github.io/Logging_0662/tillsynsmail/A 27358-2022 tillsynsbegäran mail.docx", "A 27358-2022")</f>
        <v/>
      </c>
    </row>
    <row r="11" ht="15" customHeight="1">
      <c r="A11" t="inlineStr">
        <is>
          <t>A 30362-2022</t>
        </is>
      </c>
      <c r="B11" s="1" t="n">
        <v>44760</v>
      </c>
      <c r="C11" s="1" t="n">
        <v>45662</v>
      </c>
      <c r="D11" t="inlineStr">
        <is>
          <t>JÖNKÖPINGS LÄN</t>
        </is>
      </c>
      <c r="E11" t="inlineStr">
        <is>
          <t>GISLAVED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HYPERLINK("https://klasma.github.io/Logging_0662/artfynd/A 30362-2022 artfynd.xlsx", "A 30362-2022")</f>
        <v/>
      </c>
      <c r="T11">
        <f>HYPERLINK("https://klasma.github.io/Logging_0662/kartor/A 30362-2022 karta.png", "A 30362-2022")</f>
        <v/>
      </c>
      <c r="U11">
        <f>HYPERLINK("https://klasma.github.io/Logging_0662/knärot/A 30362-2022 karta knärot.png", "A 30362-2022")</f>
        <v/>
      </c>
      <c r="V11">
        <f>HYPERLINK("https://klasma.github.io/Logging_0662/klagomål/A 30362-2022 FSC-klagomål.docx", "A 30362-2022")</f>
        <v/>
      </c>
      <c r="W11">
        <f>HYPERLINK("https://klasma.github.io/Logging_0662/klagomålsmail/A 30362-2022 FSC-klagomål mail.docx", "A 30362-2022")</f>
        <v/>
      </c>
      <c r="X11">
        <f>HYPERLINK("https://klasma.github.io/Logging_0662/tillsyn/A 30362-2022 tillsynsbegäran.docx", "A 30362-2022")</f>
        <v/>
      </c>
      <c r="Y11">
        <f>HYPERLINK("https://klasma.github.io/Logging_0662/tillsynsmail/A 30362-2022 tillsynsbegäran mail.docx", "A 30362-2022")</f>
        <v/>
      </c>
    </row>
    <row r="12" ht="15" customHeight="1">
      <c r="A12" t="inlineStr">
        <is>
          <t>A 62297-2022</t>
        </is>
      </c>
      <c r="B12" s="1" t="n">
        <v>44923</v>
      </c>
      <c r="C12" s="1" t="n">
        <v>45662</v>
      </c>
      <c r="D12" t="inlineStr">
        <is>
          <t>JÖNKÖPINGS LÄN</t>
        </is>
      </c>
      <c r="E12" t="inlineStr">
        <is>
          <t>GISLAVED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HYPERLINK("https://klasma.github.io/Logging_0662/artfynd/A 62297-2022 artfynd.xlsx", "A 62297-2022")</f>
        <v/>
      </c>
      <c r="T12">
        <f>HYPERLINK("https://klasma.github.io/Logging_0662/kartor/A 62297-2022 karta.png", "A 62297-2022")</f>
        <v/>
      </c>
      <c r="V12">
        <f>HYPERLINK("https://klasma.github.io/Logging_0662/klagomål/A 62297-2022 FSC-klagomål.docx", "A 62297-2022")</f>
        <v/>
      </c>
      <c r="W12">
        <f>HYPERLINK("https://klasma.github.io/Logging_0662/klagomålsmail/A 62297-2022 FSC-klagomål mail.docx", "A 62297-2022")</f>
        <v/>
      </c>
      <c r="X12">
        <f>HYPERLINK("https://klasma.github.io/Logging_0662/tillsyn/A 62297-2022 tillsynsbegäran.docx", "A 62297-2022")</f>
        <v/>
      </c>
      <c r="Y12">
        <f>HYPERLINK("https://klasma.github.io/Logging_0662/tillsynsmail/A 62297-2022 tillsynsbegäran mail.docx", "A 62297-2022")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45662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8486-2023</t>
        </is>
      </c>
      <c r="B14" s="1" t="n">
        <v>44977</v>
      </c>
      <c r="C14" s="1" t="n">
        <v>45662</v>
      </c>
      <c r="D14" t="inlineStr">
        <is>
          <t>JÖNKÖPINGS LÄN</t>
        </is>
      </c>
      <c r="E14" t="inlineStr">
        <is>
          <t>GISLAVED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HYPERLINK("https://klasma.github.io/Logging_0662/artfynd/A 8486-2023 artfynd.xlsx", "A 8486-2023")</f>
        <v/>
      </c>
      <c r="T14">
        <f>HYPERLINK("https://klasma.github.io/Logging_0662/kartor/A 8486-2023 karta.png", "A 8486-2023")</f>
        <v/>
      </c>
      <c r="V14">
        <f>HYPERLINK("https://klasma.github.io/Logging_0662/klagomål/A 8486-2023 FSC-klagomål.docx", "A 8486-2023")</f>
        <v/>
      </c>
      <c r="W14">
        <f>HYPERLINK("https://klasma.github.io/Logging_0662/klagomålsmail/A 8486-2023 FSC-klagomål mail.docx", "A 8486-2023")</f>
        <v/>
      </c>
      <c r="X14">
        <f>HYPERLINK("https://klasma.github.io/Logging_0662/tillsyn/A 8486-2023 tillsynsbegäran.docx", "A 8486-2023")</f>
        <v/>
      </c>
      <c r="Y14">
        <f>HYPERLINK("https://klasma.github.io/Logging_0662/tillsynsmail/A 8486-2023 tillsynsbegäran mail.docx", "A 8486-2023")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45662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22367-2023</t>
        </is>
      </c>
      <c r="B16" s="1" t="n">
        <v>45070</v>
      </c>
      <c r="C16" s="1" t="n">
        <v>45662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HYPERLINK("https://klasma.github.io/Logging_0662/artfynd/A 22367-2023 artfynd.xlsx", "A 22367-2023")</f>
        <v/>
      </c>
      <c r="T16">
        <f>HYPERLINK("https://klasma.github.io/Logging_0662/kartor/A 22367-2023 karta.png", "A 22367-2023")</f>
        <v/>
      </c>
      <c r="V16">
        <f>HYPERLINK("https://klasma.github.io/Logging_0662/klagomål/A 22367-2023 FSC-klagomål.docx", "A 22367-2023")</f>
        <v/>
      </c>
      <c r="W16">
        <f>HYPERLINK("https://klasma.github.io/Logging_0662/klagomålsmail/A 22367-2023 FSC-klagomål mail.docx", "A 22367-2023")</f>
        <v/>
      </c>
      <c r="X16">
        <f>HYPERLINK("https://klasma.github.io/Logging_0662/tillsyn/A 22367-2023 tillsynsbegäran.docx", "A 22367-2023")</f>
        <v/>
      </c>
      <c r="Y16">
        <f>HYPERLINK("https://klasma.github.io/Logging_0662/tillsynsmail/A 22367-2023 tillsynsbegäran mail.docx", "A 22367-2023")</f>
        <v/>
      </c>
    </row>
    <row r="17" ht="15" customHeight="1">
      <c r="A17" t="inlineStr">
        <is>
          <t>A 23694-2023</t>
        </is>
      </c>
      <c r="B17" s="1" t="n">
        <v>45077</v>
      </c>
      <c r="C17" s="1" t="n">
        <v>45662</v>
      </c>
      <c r="D17" t="inlineStr">
        <is>
          <t>JÖNKÖPINGS LÄN</t>
        </is>
      </c>
      <c r="E17" t="inlineStr">
        <is>
          <t>GISLAVED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HYPERLINK("https://klasma.github.io/Logging_0662/artfynd/A 23694-2023 artfynd.xlsx", "A 23694-2023")</f>
        <v/>
      </c>
      <c r="T17">
        <f>HYPERLINK("https://klasma.github.io/Logging_0662/kartor/A 23694-2023 karta.png", "A 23694-2023")</f>
        <v/>
      </c>
      <c r="V17">
        <f>HYPERLINK("https://klasma.github.io/Logging_0662/klagomål/A 23694-2023 FSC-klagomål.docx", "A 23694-2023")</f>
        <v/>
      </c>
      <c r="W17">
        <f>HYPERLINK("https://klasma.github.io/Logging_0662/klagomålsmail/A 23694-2023 FSC-klagomål mail.docx", "A 23694-2023")</f>
        <v/>
      </c>
      <c r="X17">
        <f>HYPERLINK("https://klasma.github.io/Logging_0662/tillsyn/A 23694-2023 tillsynsbegäran.docx", "A 23694-2023")</f>
        <v/>
      </c>
      <c r="Y17">
        <f>HYPERLINK("https://klasma.github.io/Logging_0662/tillsynsmail/A 23694-2023 tillsynsbegäran mail.docx", "A 23694-2023")</f>
        <v/>
      </c>
    </row>
    <row r="18" ht="15" customHeight="1">
      <c r="A18" t="inlineStr">
        <is>
          <t>A 11174-2024</t>
        </is>
      </c>
      <c r="B18" s="1" t="n">
        <v>45371</v>
      </c>
      <c r="C18" s="1" t="n">
        <v>45662</v>
      </c>
      <c r="D18" t="inlineStr">
        <is>
          <t>JÖNKÖPINGS LÄN</t>
        </is>
      </c>
      <c r="E18" t="inlineStr">
        <is>
          <t>GISLAVED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HYPERLINK("https://klasma.github.io/Logging_0662/artfynd/A 11174-2024 artfynd.xlsx", "A 11174-2024")</f>
        <v/>
      </c>
      <c r="T18">
        <f>HYPERLINK("https://klasma.github.io/Logging_0662/kartor/A 11174-2024 karta.png", "A 11174-2024")</f>
        <v/>
      </c>
      <c r="V18">
        <f>HYPERLINK("https://klasma.github.io/Logging_0662/klagomål/A 11174-2024 FSC-klagomål.docx", "A 11174-2024")</f>
        <v/>
      </c>
      <c r="W18">
        <f>HYPERLINK("https://klasma.github.io/Logging_0662/klagomålsmail/A 11174-2024 FSC-klagomål mail.docx", "A 11174-2024")</f>
        <v/>
      </c>
      <c r="X18">
        <f>HYPERLINK("https://klasma.github.io/Logging_0662/tillsyn/A 11174-2024 tillsynsbegäran.docx", "A 11174-2024")</f>
        <v/>
      </c>
      <c r="Y18">
        <f>HYPERLINK("https://klasma.github.io/Logging_0662/tillsynsmail/A 11174-2024 tillsynsbegäran mail.docx", "A 11174-2024")</f>
        <v/>
      </c>
    </row>
    <row r="19" ht="15" customHeight="1">
      <c r="A19" t="inlineStr">
        <is>
          <t>A 15227-2024</t>
        </is>
      </c>
      <c r="B19" s="1" t="n">
        <v>45400</v>
      </c>
      <c r="C19" s="1" t="n">
        <v>45662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HYPERLINK("https://klasma.github.io/Logging_0662/artfynd/A 15227-2024 artfynd.xlsx", "A 15227-2024")</f>
        <v/>
      </c>
      <c r="T19">
        <f>HYPERLINK("https://klasma.github.io/Logging_0662/kartor/A 15227-2024 karta.png", "A 15227-2024")</f>
        <v/>
      </c>
      <c r="V19">
        <f>HYPERLINK("https://klasma.github.io/Logging_0662/klagomål/A 15227-2024 FSC-klagomål.docx", "A 15227-2024")</f>
        <v/>
      </c>
      <c r="W19">
        <f>HYPERLINK("https://klasma.github.io/Logging_0662/klagomålsmail/A 15227-2024 FSC-klagomål mail.docx", "A 15227-2024")</f>
        <v/>
      </c>
      <c r="X19">
        <f>HYPERLINK("https://klasma.github.io/Logging_0662/tillsyn/A 15227-2024 tillsynsbegäran.docx", "A 15227-2024")</f>
        <v/>
      </c>
      <c r="Y19">
        <f>HYPERLINK("https://klasma.github.io/Logging_0662/tillsynsmail/A 15227-2024 tillsynsbegäran mail.docx", "A 15227-2024")</f>
        <v/>
      </c>
      <c r="Z19">
        <f>HYPERLINK("https://klasma.github.io/Logging_0662/fåglar/A 15227-2024 prioriterade fågelarter.docx", "A 15227-2024")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45662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45662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45662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45662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45662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45662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45662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45662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45662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45662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45662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45662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45662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45662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45662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45662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45662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45662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45662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45662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45662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45662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45662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45662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45662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45662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45662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45662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45662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45662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45662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45662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45662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45662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45662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45662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45662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45662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45662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45662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45662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45662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45662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45662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45662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45662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45662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45662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45662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45662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45662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45662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45662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45662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45662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45662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45662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45662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45662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45662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45662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45662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45662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45662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45662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45662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45662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45662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45662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45662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45662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45662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45662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45662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45662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45662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45662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45662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45662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45662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45662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45662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45662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45662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45662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45662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45662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45662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45662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45662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45662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45662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45662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45662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45662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45662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45662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45662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45662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45662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45662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45662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45662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45662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45662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45662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45662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45662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45662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45662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45662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45662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45662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45662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45662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45662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45662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45662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45662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45662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45662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45662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45662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45662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45662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45662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45662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45662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45662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45662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45662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45662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45662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45662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45662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45662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45662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45662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45662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45662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45662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45662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45662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45662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45662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45662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45662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45662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45662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45662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45662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45662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45662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45662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45662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45662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45662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45662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45662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45662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45662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45662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45662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45662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45662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45662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45662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45662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45662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45662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45662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45662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45662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45662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45662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45662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45662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45662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45662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45662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45662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45662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45662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45662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45662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45662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45662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45662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45662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45662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45662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45662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45662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45662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45662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45662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45662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45662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45662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45662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45662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45662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45662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45662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45662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45662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45662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45662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45662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45662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45662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45662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45662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45662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45662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45662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45662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45662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45662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45662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45662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45662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45662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45662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45662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45662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45662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45662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45662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45662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45662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45662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45662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45662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45662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45662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45662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45662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45662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45662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45662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45662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45662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45662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45662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45662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45662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45662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45662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45662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45662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45662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45662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45662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45662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45662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45662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45662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45662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45662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45662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45662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45662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45662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45662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45662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45662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45662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45662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45662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45662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45662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45662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45662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45662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45662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45662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45662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45662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45662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45662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45662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45662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45662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45662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45662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45662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45662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45662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45662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45662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45662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45662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45662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45662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45662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45662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45662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45662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45662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45662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45662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45662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45662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45662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45662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45662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45662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45662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45662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45662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45662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45662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45662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45662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45662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45662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45662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45662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45662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45662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45662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45662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45662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45662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45662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45662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45662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45662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45662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45662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45662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45662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45662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45662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45662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45662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45662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45662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45662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45662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45662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45662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45662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45662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45662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45662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45662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45662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45662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45662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45662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45662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45662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45662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45662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45662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45662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45662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45662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45662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45662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45662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45662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45662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45662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45662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45662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45662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45662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45662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45662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45662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45662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45662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45662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45662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45662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45662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45662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45662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45662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45662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45662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45662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45662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45662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45662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45662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45662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45662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45662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45662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45662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45662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45662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45662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45662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45662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45662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45662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45662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45662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45662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45662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45662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45662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45662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45662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45662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45662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45662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45662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45662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45662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45662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45662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45662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45662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45662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45662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45662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45662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45662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45662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45662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45662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45662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45662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45662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45662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45662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45662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45662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45662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45662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45662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45662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45662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45662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45662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45662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45662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45662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45662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45662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45662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45662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45662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45662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45662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45662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45662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45662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45662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45662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45662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45662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45662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45662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45662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45662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45662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45662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45662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45662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45662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45662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45662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45662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45662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45662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45662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45662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45662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45662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45662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45662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45662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45662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45662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45662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45662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45662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45662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45662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45662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45662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45662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45662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45662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45662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45662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45662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45662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45662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45662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45662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45662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45662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45662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45662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45662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45662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45662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45662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45662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45662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45662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45662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45662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45662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45662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45662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45662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45662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45662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45662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45662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45662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45662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45662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45662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45662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45662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45662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45662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45662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45662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45662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45662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45662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45662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45662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45662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45662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45662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45662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45662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45662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45662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45662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45662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45662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45662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45662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45662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45662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45662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45662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45662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45662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45662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45662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45662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45662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45662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45662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45662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45662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45662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45662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45662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45662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45662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45662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45662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45662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45662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45662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45662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45662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45662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45662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45662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45662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45662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45662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45662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45662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45662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45662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45662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45662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45662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45662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45662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45662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45662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45662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45662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45662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45662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45662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45662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45662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45662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45662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45662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45662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45662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45662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45662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45662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45662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45662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45662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45662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45662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45662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45662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45662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45662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45662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45662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45662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45662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45662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45662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45662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45662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45662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45662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45662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45662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45662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45662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45662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45662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45662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45662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45662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45662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45662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45662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45662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45662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45662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45662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45662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45662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45662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45662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45662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45662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45662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45662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45662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45662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45662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45662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45662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45662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45662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45662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45662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45662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45662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45662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45662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45662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45662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45662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45662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45662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45662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45662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45662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45662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45662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45662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45662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45662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45662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45662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45662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45662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45662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45662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45662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45662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45662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45662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45662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45662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45662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45662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45662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45662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45662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45662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45662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45662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45662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45662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45662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45662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45662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45662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45662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45662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45662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45662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45662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45662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45662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45662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45662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45662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45662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45662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45662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45662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45662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45662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45662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45662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45662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45662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45662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45662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45662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45662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45662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45662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45662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45662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45662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45662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45662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45662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45662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45662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45662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45662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45662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45662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45662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45662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45662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45662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45662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45662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45662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45662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45662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45662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45662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45662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45662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45662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45662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45662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45662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45662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45662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45662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45662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45662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45662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45662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45662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45662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45662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45662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45662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45662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45662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45662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45662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45662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45662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45662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45662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45662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45662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45662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45662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45662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45662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45662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45662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45662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45662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45662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45662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45662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45662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45662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45662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45662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45662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45662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45662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45662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45662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45662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45662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45662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45662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45662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45662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45662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45662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45662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45662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45662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45662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45662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45662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45662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45662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45662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45662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45662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45662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45662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45662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45662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45662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45662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45662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45662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45662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45662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45662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45662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45662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45662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45662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45662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45662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45662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45662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45662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45662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45662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45662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45662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45662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45662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45662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45662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45662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45662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45662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45662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45662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45662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45662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45662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45662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45662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45662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45662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45662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45662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45662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45662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45662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45662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45662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45662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45662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45662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45662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45662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45662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45662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45662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45662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45662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45662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45662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45662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45662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45662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45662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45662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45662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45662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45662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45662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45662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45662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45662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45662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45662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45662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45662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45662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45662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45662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45662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45662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45662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45662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45662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45662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45662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45662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45662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45662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45662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45662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45662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45662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45662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45662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45662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45662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45662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45662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45662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45662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45662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45662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45662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45662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45662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45662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45662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45662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45662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45662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45662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45662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45662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45662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45662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45662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45662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45662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45662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45662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45662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45662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45662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45662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45662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45662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45662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45662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45662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45662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45662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45662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45662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45662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45662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45662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45662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45662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45662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45662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45662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45662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45662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45662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45662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45662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45662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45662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45662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45662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45662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45662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45662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45662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45662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45662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45662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45662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45662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45662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45662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45662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45662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45662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45662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45662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45662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45662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45662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45662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45662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45662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45662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45662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45662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45662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45662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45662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45662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45662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45662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45662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45662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45662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45662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45662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45662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45662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45662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45662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45662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45662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45662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45662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45662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45662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45662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45662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45662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45662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45662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45662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45662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45662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45662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45662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45662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45662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45662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45662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45662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45662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45662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45662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45662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45662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45662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45662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45662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45662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45662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45662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45662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45662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45662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45662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45662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45662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45662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45662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45662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45662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45662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45662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45662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45662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45662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45662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45662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45662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45662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45662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45662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45662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45662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45662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45662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45662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45662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45662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45662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45662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45662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45662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45662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45662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45662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45662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45662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45662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45662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45662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45662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45662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45662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45662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45662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45662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45662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45662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45662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45662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45662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45662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45662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45662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45662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45662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45662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45662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45662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45662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45662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45662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45662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45662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45662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45662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45662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45662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58701-2024</t>
        </is>
      </c>
      <c r="B1125" s="1" t="n">
        <v>45635</v>
      </c>
      <c r="C1125" s="1" t="n">
        <v>45662</v>
      </c>
      <c r="D1125" t="inlineStr">
        <is>
          <t>JÖNKÖPINGS LÄN</t>
        </is>
      </c>
      <c r="E1125" t="inlineStr">
        <is>
          <t>GISLAVED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45662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45662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45662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59187-2024</t>
        </is>
      </c>
      <c r="B1129" s="1" t="n">
        <v>45637</v>
      </c>
      <c r="C1129" s="1" t="n">
        <v>45662</v>
      </c>
      <c r="D1129" t="inlineStr">
        <is>
          <t>JÖNKÖPINGS LÄN</t>
        </is>
      </c>
      <c r="E1129" t="inlineStr">
        <is>
          <t>GISLAVED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59208-2024</t>
        </is>
      </c>
      <c r="B1130" s="1" t="n">
        <v>45637</v>
      </c>
      <c r="C1130" s="1" t="n">
        <v>45662</v>
      </c>
      <c r="D1130" t="inlineStr">
        <is>
          <t>JÖNKÖPINGS LÄN</t>
        </is>
      </c>
      <c r="E1130" t="inlineStr">
        <is>
          <t>GISLAVED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59170-2024</t>
        </is>
      </c>
      <c r="B1131" s="1" t="n">
        <v>45637</v>
      </c>
      <c r="C1131" s="1" t="n">
        <v>45662</v>
      </c>
      <c r="D1131" t="inlineStr">
        <is>
          <t>JÖNKÖPINGS LÄN</t>
        </is>
      </c>
      <c r="E1131" t="inlineStr">
        <is>
          <t>GISLAVED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45662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45662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59952-2024</t>
        </is>
      </c>
      <c r="B1134" s="1" t="n">
        <v>45642</v>
      </c>
      <c r="C1134" s="1" t="n">
        <v>45662</v>
      </c>
      <c r="D1134" t="inlineStr">
        <is>
          <t>JÖNKÖPINGS LÄN</t>
        </is>
      </c>
      <c r="E1134" t="inlineStr">
        <is>
          <t>GISLAVED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45662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45662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45662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45662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61613-2024</t>
        </is>
      </c>
      <c r="B1139" s="1" t="n">
        <v>45646</v>
      </c>
      <c r="C1139" s="1" t="n">
        <v>45662</v>
      </c>
      <c r="D1139" t="inlineStr">
        <is>
          <t>JÖNKÖPINGS LÄN</t>
        </is>
      </c>
      <c r="E1139" t="inlineStr">
        <is>
          <t>GISLAVED</t>
        </is>
      </c>
      <c r="G1139" t="n">
        <v>9.699999999999999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45662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61726-2024</t>
        </is>
      </c>
      <c r="B1141" s="1" t="n">
        <v>45649</v>
      </c>
      <c r="C1141" s="1" t="n">
        <v>45662</v>
      </c>
      <c r="D1141" t="inlineStr">
        <is>
          <t>JÖNKÖPINGS LÄN</t>
        </is>
      </c>
      <c r="E1141" t="inlineStr">
        <is>
          <t>GISLAVED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45662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>
      <c r="A1143" t="inlineStr">
        <is>
          <t>A 61904-2024</t>
        </is>
      </c>
      <c r="B1143" s="1" t="n">
        <v>45653</v>
      </c>
      <c r="C1143" s="1" t="n">
        <v>45662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2025-01-05T15:52:15Z</dcterms:created>
  <dcterms:modified xmlns:dcterms="http://purl.org/dc/terms/" xmlns:xsi="http://www.w3.org/2001/XMLSchema-instance" xsi:type="dcterms:W3CDTF">2025-01-05T15:52:16Z</dcterms:modified>
</cp:coreProperties>
</file>