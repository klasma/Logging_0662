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46306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46306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69075-2021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46306</v>
      </c>
      <c r="F8" t="inlineStr">
        <is>
          <t>JÖNKÖPINGS LÄN</t>
        </is>
      </c>
      <c r="G8" t="inlineStr">
        <is>
          <t>GISLAVED</t>
        </is>
      </c>
      <c r="I8" t="n">
        <v>2.1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Bredgentiana
Loppstarr
Sommarfibbla</t>
        </is>
      </c>
      <c r="W8">
        <f>HYPERLINK("https://klasma.github.io/Logging_0662/artfynd/A 69075-2021 artfynd.xlsx", "A 69075-2021")</f>
        <v/>
      </c>
      <c r="X8">
        <f>HYPERLINK("https://klasma.github.io/Logging_0662/kartor/A 69075-2021 karta.png", "A 69075-2021")</f>
        <v/>
      </c>
      <c r="Y8">
        <f>HYPERLINK("https://klasma.github.io/Logging_0662/kartor_geotiff/A 69075-2021 georefererad karta.tif", "A 69075-2021")</f>
        <v/>
      </c>
      <c r="AA8">
        <f>HYPERLINK("https://klasma.github.io/Logging_0662/klagomål/A 69075-2021 FSC-klagomål.docx", "A 69075-2021")</f>
        <v/>
      </c>
      <c r="AB8">
        <f>HYPERLINK("https://klasma.github.io/Logging_0662/klagomålsmail/A 69075-2021 FSC-klagomål mail.docx", "A 69075-2021")</f>
        <v/>
      </c>
      <c r="AC8">
        <f>HYPERLINK("https://klasma.github.io/Logging_0662/tillsyn/A 69075-2021 tillsynsbegäran.docx", "A 69075-2021")</f>
        <v/>
      </c>
      <c r="AD8">
        <f>HYPERLINK("https://klasma.github.io/Logging_0662/tillsynsmail/A 69075-2021 tillsynsbegäran mail.docx", "A 69075-2021")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46306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24572-2025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46306</v>
      </c>
      <c r="F10" t="inlineStr">
        <is>
          <t>JÖNKÖPINGS LÄN</t>
        </is>
      </c>
      <c r="G10" t="inlineStr">
        <is>
          <t>GISLAVED</t>
        </is>
      </c>
      <c r="I10" t="n">
        <v>0.9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11</v>
      </c>
      <c r="U10" t="n">
        <v>0</v>
      </c>
      <c r="V10" s="2" t="inlineStr">
        <is>
          <t>Knärot
Stor revmossa
Västlig hakmossa</t>
        </is>
      </c>
      <c r="W10">
        <f>HYPERLINK("https://klasma.github.io/Logging_0662/artfynd/A 24572-2025 artfynd.xlsx", "A 24572-2025")</f>
        <v/>
      </c>
      <c r="X10">
        <f>HYPERLINK("https://klasma.github.io/Logging_0662/kartor/A 24572-2025 karta.png", "A 24572-2025")</f>
        <v/>
      </c>
      <c r="Y10">
        <f>HYPERLINK("https://klasma.github.io/Logging_0662/kartor_geotiff/A 24572-2025 georefererad karta.tif", "A 24572-2025")</f>
        <v/>
      </c>
      <c r="Z10">
        <f>HYPERLINK("https://klasma.github.io/Logging_0662/knärot/A 24572-2025 karta knärot.png", "A 24572-2025")</f>
        <v/>
      </c>
      <c r="AA10">
        <f>HYPERLINK("https://klasma.github.io/Logging_0662/klagomål/A 24572-2025 FSC-klagomål.docx", "A 24572-2025")</f>
        <v/>
      </c>
      <c r="AB10">
        <f>HYPERLINK("https://klasma.github.io/Logging_0662/klagomålsmail/A 24572-2025 FSC-klagomål mail.docx", "A 24572-2025")</f>
        <v/>
      </c>
      <c r="AC10">
        <f>HYPERLINK("https://klasma.github.io/Logging_0662/tillsyn/A 24572-2025 tillsynsbegäran.docx", "A 24572-2025")</f>
        <v/>
      </c>
      <c r="AD10">
        <f>HYPERLINK("https://klasma.github.io/Logging_0662/tillsynsmail/A 24572-2025 tillsynsbegäran mail.docx", "A 24572-2025")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46306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46306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46306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46306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46306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10231-2024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45365</v>
      </c>
      <c r="E16" s="1" t="n">
        <v>46306</v>
      </c>
      <c r="F16" t="inlineStr">
        <is>
          <t>JÖNKÖPINGS LÄN</t>
        </is>
      </c>
      <c r="G16" t="inlineStr">
        <is>
          <t>GISLAVED</t>
        </is>
      </c>
      <c r="I16" t="n">
        <v>3.6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10231-2024 artfynd.xlsx", "A 10231-2024")</f>
        <v/>
      </c>
      <c r="X16">
        <f>HYPERLINK("https://klasma.github.io/Logging_0662/kartor/A 10231-2024 karta.png", "A 10231-2024")</f>
        <v/>
      </c>
      <c r="Y16">
        <f>HYPERLINK("https://klasma.github.io/Logging_0662/kartor_geotiff/A 10231-2024 georefererad karta.tif", "A 10231-2024")</f>
        <v/>
      </c>
      <c r="AA16">
        <f>HYPERLINK("https://klasma.github.io/Logging_0662/klagomål/A 10231-2024 FSC-klagomål.docx", "A 10231-2024")</f>
        <v/>
      </c>
      <c r="AB16">
        <f>HYPERLINK("https://klasma.github.io/Logging_0662/klagomålsmail/A 10231-2024 FSC-klagomål mail.docx", "A 10231-2024")</f>
        <v/>
      </c>
      <c r="AC16">
        <f>HYPERLINK("https://klasma.github.io/Logging_0662/tillsyn/A 10231-2024 tillsynsbegäran.docx", "A 10231-2024")</f>
        <v/>
      </c>
      <c r="AD16">
        <f>HYPERLINK("https://klasma.github.io/Logging_0662/tillsynsmail/A 10231-2024 tillsynsbegäran mail.docx", "A 10231-2024")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46306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46306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Ljungögontröst</t>
        </is>
      </c>
      <c r="W18">
        <f>HYPERLINK("https://klasma.github.io/Logging_0662/artfynd/A 18423-2024 artfynd.xlsx", "A 18423-2024")</f>
        <v/>
      </c>
      <c r="X18">
        <f>HYPERLINK("https://klasma.github.io/Logging_0662/kartor/A 18423-2024 karta.png", "A 18423-2024")</f>
        <v/>
      </c>
      <c r="Y18">
        <f>HYPERLINK("https://klasma.github.io/Logging_0662/kartor_geotiff/A 18423-2024 georefererad karta.tif", "A 18423-2024")</f>
        <v/>
      </c>
      <c r="AA18">
        <f>HYPERLINK("https://klasma.github.io/Logging_0662/klagomål/A 18423-2024 FSC-klagomål.docx", "A 18423-2024")</f>
        <v/>
      </c>
      <c r="AB18">
        <f>HYPERLINK("https://klasma.github.io/Logging_0662/klagomålsmail/A 18423-2024 FSC-klagomål mail.docx", "A 18423-2024")</f>
        <v/>
      </c>
      <c r="AC18">
        <f>HYPERLINK("https://klasma.github.io/Logging_0662/tillsyn/A 18423-2024 tillsynsbegäran.docx", "A 18423-2024")</f>
        <v/>
      </c>
      <c r="AD18">
        <f>HYPERLINK("https://klasma.github.io/Logging_0662/tillsynsmail/A 18423-2024 tillsynsbegäran mail.docx", "A 18423-2024")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46306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46306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46306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11902-2025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45728</v>
      </c>
      <c r="E22" s="1" t="n">
        <v>46306</v>
      </c>
      <c r="F22" t="inlineStr">
        <is>
          <t>JÖNKÖPINGS LÄN</t>
        </is>
      </c>
      <c r="G22" t="inlineStr">
        <is>
          <t>GISLAVED</t>
        </is>
      </c>
      <c r="H22" t="inlineStr">
        <is>
          <t>Sveaskog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HYPERLINK("https://klasma.github.io/Logging_0662/artfynd/A 11902-2025 artfynd.xlsx", "A 11902-2025")</f>
        <v/>
      </c>
      <c r="X22">
        <f>HYPERLINK("https://klasma.github.io/Logging_0662/kartor/A 11902-2025 karta.png", "A 11902-2025")</f>
        <v/>
      </c>
      <c r="Y22">
        <f>HYPERLINK("https://klasma.github.io/Logging_0662/kartor_geotiff/A 11902-2025 georefererad karta.tif", "A 11902-2025")</f>
        <v/>
      </c>
      <c r="AA22">
        <f>HYPERLINK("https://klasma.github.io/Logging_0662/klagomål/A 11902-2025 FSC-klagomål.docx", "A 11902-2025")</f>
        <v/>
      </c>
      <c r="AB22">
        <f>HYPERLINK("https://klasma.github.io/Logging_0662/klagomålsmail/A 11902-2025 FSC-klagomål mail.docx", "A 11902-2025")</f>
        <v/>
      </c>
      <c r="AC22">
        <f>HYPERLINK("https://klasma.github.io/Logging_0662/tillsyn/A 11902-2025 tillsynsbegäran.docx", "A 11902-2025")</f>
        <v/>
      </c>
      <c r="AD22">
        <f>HYPERLINK("https://klasma.github.io/Logging_0662/tillsynsmail/A 11902-2025 tillsynsbegäran mail.docx", "A 11902-2025")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46306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46306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27358-2022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44742</v>
      </c>
      <c r="E25" s="1" t="n">
        <v>46306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HYPERLINK("https://klasma.github.io/Logging_0662/artfynd/A 27358-2022 artfynd.xlsx", "A 27358-2022")</f>
        <v/>
      </c>
      <c r="X25">
        <f>HYPERLINK("https://klasma.github.io/Logging_0662/kartor/A 27358-2022 karta.png", "A 27358-2022")</f>
        <v/>
      </c>
      <c r="Y25">
        <f>HYPERLINK("https://klasma.github.io/Logging_0662/kartor_geotiff/A 27358-2022 georefererad karta.tif", "A 27358-2022")</f>
        <v/>
      </c>
      <c r="AA25">
        <f>HYPERLINK("https://klasma.github.io/Logging_0662/klagomål/A 27358-2022 FSC-klagomål.docx", "A 27358-2022")</f>
        <v/>
      </c>
      <c r="AB25">
        <f>HYPERLINK("https://klasma.github.io/Logging_0662/klagomålsmail/A 27358-2022 FSC-klagomål mail.docx", "A 27358-2022")</f>
        <v/>
      </c>
      <c r="AC25">
        <f>HYPERLINK("https://klasma.github.io/Logging_0662/tillsyn/A 27358-2022 tillsynsbegäran.docx", "A 27358-2022")</f>
        <v/>
      </c>
      <c r="AD25">
        <f>HYPERLINK("https://klasma.github.io/Logging_0662/tillsynsmail/A 27358-2022 tillsynsbegäran mail.docx", "A 27358-2022")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46306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46306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46306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46306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46306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46306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46306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46306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46306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46306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46306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46306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46306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46306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46306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46306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46306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46306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46306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46306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46306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46306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46306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46306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46306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46306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46306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46306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46306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46306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46306</v>
      </c>
      <c r="F56" t="inlineStr">
        <is>
          <t>JÖNKÖPINGS LÄN</t>
        </is>
      </c>
      <c r="G56" t="inlineStr">
        <is>
          <t>GISLAVED</t>
        </is>
      </c>
      <c r="H56" t="inlineStr">
        <is>
          <t>Kyrkan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46306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46306</v>
      </c>
      <c r="F58" t="inlineStr">
        <is>
          <t>JÖNKÖPINGS LÄN</t>
        </is>
      </c>
      <c r="G58" t="inlineStr">
        <is>
          <t>GISLAVED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46306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44867</v>
      </c>
      <c r="E60" s="1" t="n">
        <v>46306</v>
      </c>
      <c r="F60" t="inlineStr">
        <is>
          <t>JÖNKÖPINGS LÄN</t>
        </is>
      </c>
      <c r="G60" t="inlineStr">
        <is>
          <t>GISLAVED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44563</v>
      </c>
      <c r="E61" s="1" t="n">
        <v>46306</v>
      </c>
      <c r="F61" t="inlineStr">
        <is>
          <t>JÖNKÖPINGS LÄN</t>
        </is>
      </c>
      <c r="G61" t="inlineStr">
        <is>
          <t>GISLAVED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46306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46306</v>
      </c>
      <c r="F63" t="inlineStr">
        <is>
          <t>JÖNKÖPINGS LÄN</t>
        </is>
      </c>
      <c r="G63" t="inlineStr">
        <is>
          <t>GISLAVED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46306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46306</v>
      </c>
      <c r="F65" t="inlineStr">
        <is>
          <t>JÖNKÖPINGS LÄN</t>
        </is>
      </c>
      <c r="G65" t="inlineStr">
        <is>
          <t>GISLAVED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46306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46306</v>
      </c>
      <c r="F67" t="inlineStr">
        <is>
          <t>JÖNKÖPINGS LÄN</t>
        </is>
      </c>
      <c r="G67" t="inlineStr">
        <is>
          <t>GISLAVED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46306</v>
      </c>
      <c r="F68" t="inlineStr">
        <is>
          <t>JÖNKÖPINGS LÄN</t>
        </is>
      </c>
      <c r="G68" t="inlineStr">
        <is>
          <t>GISLAVED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46306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46306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46306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46306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46306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46306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46306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45385</v>
      </c>
      <c r="E76" s="1" t="n">
        <v>46306</v>
      </c>
      <c r="F76" t="inlineStr">
        <is>
          <t>JÖNKÖPINGS LÄN</t>
        </is>
      </c>
      <c r="G76" t="inlineStr">
        <is>
          <t>GISLAVED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46306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46306</v>
      </c>
      <c r="F78" t="inlineStr">
        <is>
          <t>JÖNKÖPINGS LÄN</t>
        </is>
      </c>
      <c r="G78" t="inlineStr">
        <is>
          <t>GISLAVED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46306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46306</v>
      </c>
      <c r="F80" t="inlineStr">
        <is>
          <t>JÖNKÖPINGS LÄN</t>
        </is>
      </c>
      <c r="G80" t="inlineStr">
        <is>
          <t>GISLAVED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46306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46306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46306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46306</v>
      </c>
      <c r="F84" t="inlineStr">
        <is>
          <t>JÖNKÖPINGS LÄN</t>
        </is>
      </c>
      <c r="G84" t="inlineStr">
        <is>
          <t>GISLAVED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46306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46306</v>
      </c>
      <c r="F86" t="inlineStr">
        <is>
          <t>JÖNKÖPINGS LÄN</t>
        </is>
      </c>
      <c r="G86" t="inlineStr">
        <is>
          <t>GISLAVED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46306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46306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46306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44651</v>
      </c>
      <c r="E90" s="1" t="n">
        <v>46306</v>
      </c>
      <c r="F90" t="inlineStr">
        <is>
          <t>JÖNKÖPINGS LÄN</t>
        </is>
      </c>
      <c r="G90" t="inlineStr">
        <is>
          <t>GISLAVED</t>
        </is>
      </c>
      <c r="H90" t="inlineStr">
        <is>
          <t>Kyrkan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46306</v>
      </c>
      <c r="F91" t="inlineStr">
        <is>
          <t>JÖNKÖPINGS LÄN</t>
        </is>
      </c>
      <c r="G91" t="inlineStr">
        <is>
          <t>GISLAVED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46306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44931</v>
      </c>
      <c r="E93" s="1" t="n">
        <v>46306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44931</v>
      </c>
      <c r="E94" s="1" t="n">
        <v>46306</v>
      </c>
      <c r="F94" t="inlineStr">
        <is>
          <t>JÖNKÖPINGS LÄN</t>
        </is>
      </c>
      <c r="G94" t="inlineStr">
        <is>
          <t>GISLAVED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46306</v>
      </c>
      <c r="F95" t="inlineStr">
        <is>
          <t>JÖNKÖPINGS LÄN</t>
        </is>
      </c>
      <c r="G95" t="inlineStr">
        <is>
          <t>GISLAVED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46306</v>
      </c>
      <c r="F96" t="inlineStr">
        <is>
          <t>JÖNKÖPINGS LÄN</t>
        </is>
      </c>
      <c r="G96" t="inlineStr">
        <is>
          <t>GISLAVED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45349</v>
      </c>
      <c r="E97" s="1" t="n">
        <v>46306</v>
      </c>
      <c r="F97" t="inlineStr">
        <is>
          <t>JÖNKÖPINGS LÄN</t>
        </is>
      </c>
      <c r="G97" t="inlineStr">
        <is>
          <t>GISLAVED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46306</v>
      </c>
      <c r="F98" t="inlineStr">
        <is>
          <t>JÖNKÖPINGS LÄN</t>
        </is>
      </c>
      <c r="G98" t="inlineStr">
        <is>
          <t>GISLAVED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46306</v>
      </c>
      <c r="F99" t="inlineStr">
        <is>
          <t>JÖNKÖPINGS LÄN</t>
        </is>
      </c>
      <c r="G99" t="inlineStr">
        <is>
          <t>GISLAVED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46306</v>
      </c>
      <c r="F100" t="inlineStr">
        <is>
          <t>JÖNKÖPINGS LÄN</t>
        </is>
      </c>
      <c r="G100" t="inlineStr">
        <is>
          <t>GISLAVED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46306</v>
      </c>
      <c r="F101" t="inlineStr">
        <is>
          <t>JÖNKÖPINGS LÄN</t>
        </is>
      </c>
      <c r="G101" t="inlineStr">
        <is>
          <t>GISLAVED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46306</v>
      </c>
      <c r="F102" t="inlineStr">
        <is>
          <t>JÖNKÖPINGS LÄN</t>
        </is>
      </c>
      <c r="G102" t="inlineStr">
        <is>
          <t>GISLAVED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46306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46306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46306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45495</v>
      </c>
      <c r="E106" s="1" t="n">
        <v>46306</v>
      </c>
      <c r="F106" t="inlineStr">
        <is>
          <t>JÖNKÖPINGS LÄN</t>
        </is>
      </c>
      <c r="G106" t="inlineStr">
        <is>
          <t>GISLAVED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45385</v>
      </c>
      <c r="E107" s="1" t="n">
        <v>46306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45675</v>
      </c>
      <c r="E108" s="1" t="n">
        <v>46306</v>
      </c>
      <c r="F108" t="inlineStr">
        <is>
          <t>JÖNKÖPINGS LÄN</t>
        </is>
      </c>
      <c r="G108" t="inlineStr">
        <is>
          <t>GISLAVED</t>
        </is>
      </c>
      <c r="H108" t="inlineStr">
        <is>
          <t>Kommuner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46306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46306</v>
      </c>
      <c r="F110" t="inlineStr">
        <is>
          <t>JÖNKÖPINGS LÄN</t>
        </is>
      </c>
      <c r="G110" t="inlineStr">
        <is>
          <t>GISLAVED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45316</v>
      </c>
      <c r="E111" s="1" t="n">
        <v>46306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18961-2024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45427</v>
      </c>
      <c r="E112" s="1" t="n">
        <v>46306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44952</v>
      </c>
      <c r="E113" s="1" t="n">
        <v>46306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46306</v>
      </c>
      <c r="F114" t="inlineStr">
        <is>
          <t>JÖNKÖPINGS LÄN</t>
        </is>
      </c>
      <c r="G114" t="inlineStr">
        <is>
          <t>GISLAVED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46306</v>
      </c>
      <c r="F115" t="inlineStr">
        <is>
          <t>JÖNKÖPINGS LÄN</t>
        </is>
      </c>
      <c r="G115" t="inlineStr">
        <is>
          <t>GISLAVED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7509-2023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44971</v>
      </c>
      <c r="E116" s="1" t="n">
        <v>46306</v>
      </c>
      <c r="F116" t="inlineStr">
        <is>
          <t>JÖNKÖPINGS LÄN</t>
        </is>
      </c>
      <c r="G116" t="inlineStr">
        <is>
          <t>GISLAVED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44971</v>
      </c>
      <c r="E117" s="1" t="n">
        <v>46306</v>
      </c>
      <c r="F117" t="inlineStr">
        <is>
          <t>JÖNKÖPINGS LÄN</t>
        </is>
      </c>
      <c r="G117" t="inlineStr">
        <is>
          <t>GISLAVED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46306</v>
      </c>
      <c r="F118" t="inlineStr">
        <is>
          <t>JÖNKÖPINGS LÄN</t>
        </is>
      </c>
      <c r="G118" t="inlineStr">
        <is>
          <t>GISLAVED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46306</v>
      </c>
      <c r="F119" t="inlineStr">
        <is>
          <t>JÖNKÖPINGS LÄN</t>
        </is>
      </c>
      <c r="G119" t="inlineStr">
        <is>
          <t>GISLAVED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46306</v>
      </c>
      <c r="F120" t="inlineStr">
        <is>
          <t>JÖNKÖPINGS LÄN</t>
        </is>
      </c>
      <c r="G120" t="inlineStr">
        <is>
          <t>GISLAVED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46306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45100</v>
      </c>
      <c r="E122" s="1" t="n">
        <v>46306</v>
      </c>
      <c r="F122" t="inlineStr">
        <is>
          <t>JÖNKÖPINGS LÄN</t>
        </is>
      </c>
      <c r="G122" t="inlineStr">
        <is>
          <t>GISLAVED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58950-2021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46306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46306</v>
      </c>
      <c r="F124" t="inlineStr">
        <is>
          <t>JÖNKÖPINGS LÄN</t>
        </is>
      </c>
      <c r="G124" t="inlineStr">
        <is>
          <t>GISLAVED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46306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46306</v>
      </c>
      <c r="F126" t="inlineStr">
        <is>
          <t>JÖNKÖPINGS LÄN</t>
        </is>
      </c>
      <c r="G126" t="inlineStr">
        <is>
          <t>GISLAVED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46306</v>
      </c>
      <c r="F127" t="inlineStr">
        <is>
          <t>JÖNKÖPINGS LÄN</t>
        </is>
      </c>
      <c r="G127" t="inlineStr">
        <is>
          <t>GISLAVED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45190</v>
      </c>
      <c r="E128" s="1" t="n">
        <v>46306</v>
      </c>
      <c r="F128" t="inlineStr">
        <is>
          <t>JÖNKÖPINGS LÄN</t>
        </is>
      </c>
      <c r="G128" t="inlineStr">
        <is>
          <t>GISLAVED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46306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46306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46306</v>
      </c>
      <c r="F131" t="inlineStr">
        <is>
          <t>JÖNKÖPINGS LÄN</t>
        </is>
      </c>
      <c r="G131" t="inlineStr">
        <is>
          <t>GISLAVED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46306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46306</v>
      </c>
      <c r="F133" t="inlineStr">
        <is>
          <t>JÖNKÖPINGS LÄN</t>
        </is>
      </c>
      <c r="G133" t="inlineStr">
        <is>
          <t>GISLAVED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46306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46306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45509</v>
      </c>
      <c r="E136" s="1" t="n">
        <v>46306</v>
      </c>
      <c r="F136" t="inlineStr">
        <is>
          <t>JÖNKÖPINGS LÄN</t>
        </is>
      </c>
      <c r="G136" t="inlineStr">
        <is>
          <t>GISLAVED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73551-2021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46306</v>
      </c>
      <c r="F137" t="inlineStr">
        <is>
          <t>JÖNKÖPINGS LÄN</t>
        </is>
      </c>
      <c r="G137" t="inlineStr">
        <is>
          <t>GISLAVED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46306</v>
      </c>
      <c r="F138" t="inlineStr">
        <is>
          <t>JÖNKÖPINGS LÄN</t>
        </is>
      </c>
      <c r="G138" t="inlineStr">
        <is>
          <t>GISLAVED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73908-2021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44553</v>
      </c>
      <c r="E139" s="1" t="n">
        <v>46306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46306</v>
      </c>
      <c r="F140" t="inlineStr">
        <is>
          <t>JÖNKÖPINGS LÄN</t>
        </is>
      </c>
      <c r="G140" t="inlineStr">
        <is>
          <t>GISLAVED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44883</v>
      </c>
      <c r="E141" s="1" t="n">
        <v>46306</v>
      </c>
      <c r="F141" t="inlineStr">
        <is>
          <t>JÖNKÖPINGS LÄN</t>
        </is>
      </c>
      <c r="G141" t="inlineStr">
        <is>
          <t>GISLAVED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45709</v>
      </c>
      <c r="E142" s="1" t="n">
        <v>46306</v>
      </c>
      <c r="F142" t="inlineStr">
        <is>
          <t>JÖNKÖPINGS LÄN</t>
        </is>
      </c>
      <c r="G142" t="inlineStr">
        <is>
          <t>GISLAVED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45709</v>
      </c>
      <c r="E143" s="1" t="n">
        <v>46306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46306</v>
      </c>
      <c r="F144" t="inlineStr">
        <is>
          <t>JÖNKÖPINGS LÄN</t>
        </is>
      </c>
      <c r="G144" t="inlineStr">
        <is>
          <t>GISLAVED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46306</v>
      </c>
      <c r="F145" t="inlineStr">
        <is>
          <t>JÖNKÖPINGS LÄN</t>
        </is>
      </c>
      <c r="G145" t="inlineStr">
        <is>
          <t>GISLAVED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46306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46306</v>
      </c>
      <c r="F147" t="inlineStr">
        <is>
          <t>JÖNKÖPINGS LÄN</t>
        </is>
      </c>
      <c r="G147" t="inlineStr">
        <is>
          <t>GISLAVED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45465</v>
      </c>
      <c r="E148" s="1" t="n">
        <v>46306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44931</v>
      </c>
      <c r="E149" s="1" t="n">
        <v>46306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46306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60261-2022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44910</v>
      </c>
      <c r="E151" s="1" t="n">
        <v>46306</v>
      </c>
      <c r="F151" t="inlineStr">
        <is>
          <t>JÖNKÖPINGS LÄN</t>
        </is>
      </c>
      <c r="G151" t="inlineStr">
        <is>
          <t>GISLAVED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45135</v>
      </c>
      <c r="E152" s="1" t="n">
        <v>46306</v>
      </c>
      <c r="F152" t="inlineStr">
        <is>
          <t>JÖNKÖPINGS LÄN</t>
        </is>
      </c>
      <c r="G152" t="inlineStr">
        <is>
          <t>GISLAVED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46306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44840</v>
      </c>
      <c r="E154" s="1" t="n">
        <v>46306</v>
      </c>
      <c r="F154" t="inlineStr">
        <is>
          <t>JÖNKÖPINGS LÄN</t>
        </is>
      </c>
      <c r="G154" t="inlineStr">
        <is>
          <t>GISLAVED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46306</v>
      </c>
      <c r="F155" t="inlineStr">
        <is>
          <t>JÖNKÖPINGS LÄN</t>
        </is>
      </c>
      <c r="G155" t="inlineStr">
        <is>
          <t>GISLAVED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46306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46306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46306</v>
      </c>
      <c r="F158" t="inlineStr">
        <is>
          <t>JÖNKÖPINGS LÄN</t>
        </is>
      </c>
      <c r="G158" t="inlineStr">
        <is>
          <t>GISLAVED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46306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51820-2024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46306</v>
      </c>
      <c r="F160" t="inlineStr">
        <is>
          <t>JÖNKÖPINGS LÄN</t>
        </is>
      </c>
      <c r="G160" t="inlineStr">
        <is>
          <t>GISLAVED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46306</v>
      </c>
      <c r="F161" t="inlineStr">
        <is>
          <t>JÖNKÖPINGS LÄN</t>
        </is>
      </c>
      <c r="G161" t="inlineStr">
        <is>
          <t>GISLAVED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44624</v>
      </c>
      <c r="E162" s="1" t="n">
        <v>46306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46306</v>
      </c>
      <c r="F163" t="inlineStr">
        <is>
          <t>JÖNKÖPINGS LÄN</t>
        </is>
      </c>
      <c r="G163" t="inlineStr">
        <is>
          <t>GISLAVED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45515</v>
      </c>
      <c r="E164" s="1" t="n">
        <v>46306</v>
      </c>
      <c r="F164" t="inlineStr">
        <is>
          <t>JÖNKÖPINGS LÄN</t>
        </is>
      </c>
      <c r="G164" t="inlineStr">
        <is>
          <t>GISLAVED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46306</v>
      </c>
      <c r="F165" t="inlineStr">
        <is>
          <t>JÖNKÖPINGS LÄN</t>
        </is>
      </c>
      <c r="G165" t="inlineStr">
        <is>
          <t>GISLAVED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46306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44923</v>
      </c>
      <c r="E167" s="1" t="n">
        <v>46306</v>
      </c>
      <c r="F167" t="inlineStr">
        <is>
          <t>JÖNKÖPINGS LÄN</t>
        </is>
      </c>
      <c r="G167" t="inlineStr">
        <is>
          <t>GISLAVED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46306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46306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46306</v>
      </c>
      <c r="F170" t="inlineStr">
        <is>
          <t>JÖNKÖPINGS LÄN</t>
        </is>
      </c>
      <c r="G170" t="inlineStr">
        <is>
          <t>GISLAVED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46306</v>
      </c>
      <c r="F171" t="inlineStr">
        <is>
          <t>JÖNKÖPINGS LÄN</t>
        </is>
      </c>
      <c r="G171" t="inlineStr">
        <is>
          <t>GISLAVED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46306</v>
      </c>
      <c r="F172" t="inlineStr">
        <is>
          <t>JÖNKÖPINGS LÄN</t>
        </is>
      </c>
      <c r="G172" t="inlineStr">
        <is>
          <t>GISLAVED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45235</v>
      </c>
      <c r="E173" s="1" t="n">
        <v>46306</v>
      </c>
      <c r="F173" t="inlineStr">
        <is>
          <t>JÖNKÖPINGS LÄN</t>
        </is>
      </c>
      <c r="G173" t="inlineStr">
        <is>
          <t>GISLAVED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44853</v>
      </c>
      <c r="E174" s="1" t="n">
        <v>46306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46306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46306</v>
      </c>
      <c r="F176" t="inlineStr">
        <is>
          <t>JÖNKÖPINGS LÄN</t>
        </is>
      </c>
      <c r="G176" t="inlineStr">
        <is>
          <t>GISLAVED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46306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46306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67211-2021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44523</v>
      </c>
      <c r="E179" s="1" t="n">
        <v>46306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46306</v>
      </c>
      <c r="F180" t="inlineStr">
        <is>
          <t>JÖNKÖPINGS LÄN</t>
        </is>
      </c>
      <c r="G180" t="inlineStr">
        <is>
          <t>GISLAVED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45900</v>
      </c>
      <c r="E181" s="1" t="n">
        <v>46306</v>
      </c>
      <c r="F181" t="inlineStr">
        <is>
          <t>JÖNKÖPINGS LÄN</t>
        </is>
      </c>
      <c r="G181" t="inlineStr">
        <is>
          <t>GISLAVED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46306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46306</v>
      </c>
      <c r="F183" t="inlineStr">
        <is>
          <t>JÖNKÖPINGS LÄN</t>
        </is>
      </c>
      <c r="G183" t="inlineStr">
        <is>
          <t>GISLAVED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46306</v>
      </c>
      <c r="F184" t="inlineStr">
        <is>
          <t>JÖNKÖPINGS LÄN</t>
        </is>
      </c>
      <c r="G184" t="inlineStr">
        <is>
          <t>GISLAVED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45682</v>
      </c>
      <c r="E185" s="1" t="n">
        <v>46306</v>
      </c>
      <c r="F185" t="inlineStr">
        <is>
          <t>JÖNKÖPINGS LÄN</t>
        </is>
      </c>
      <c r="G185" t="inlineStr">
        <is>
          <t>GISLAVED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45545</v>
      </c>
      <c r="E186" s="1" t="n">
        <v>46306</v>
      </c>
      <c r="F186" t="inlineStr">
        <is>
          <t>JÖNKÖPINGS LÄN</t>
        </is>
      </c>
      <c r="G186" t="inlineStr">
        <is>
          <t>GISLAVED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46306</v>
      </c>
      <c r="F187" t="inlineStr">
        <is>
          <t>JÖNKÖPINGS LÄN</t>
        </is>
      </c>
      <c r="G187" t="inlineStr">
        <is>
          <t>GISLAVED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46306</v>
      </c>
      <c r="F188" t="inlineStr">
        <is>
          <t>JÖNKÖPINGS LÄN</t>
        </is>
      </c>
      <c r="G188" t="inlineStr">
        <is>
          <t>GISLAVED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46306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46306</v>
      </c>
      <c r="F190" t="inlineStr">
        <is>
          <t>JÖNKÖPINGS LÄN</t>
        </is>
      </c>
      <c r="G190" t="inlineStr">
        <is>
          <t>GISLAVED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46306</v>
      </c>
      <c r="F191" t="inlineStr">
        <is>
          <t>JÖNKÖPINGS LÄN</t>
        </is>
      </c>
      <c r="G191" t="inlineStr">
        <is>
          <t>GISLAVED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46306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44563</v>
      </c>
      <c r="E193" s="1" t="n">
        <v>46306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46306</v>
      </c>
      <c r="F194" t="inlineStr">
        <is>
          <t>JÖNKÖPINGS LÄN</t>
        </is>
      </c>
      <c r="G194" t="inlineStr">
        <is>
          <t>GISLAVED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46306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46306</v>
      </c>
      <c r="F196" t="inlineStr">
        <is>
          <t>JÖNKÖPINGS LÄN</t>
        </is>
      </c>
      <c r="G196" t="inlineStr">
        <is>
          <t>GISLAVED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45545</v>
      </c>
      <c r="E197" s="1" t="n">
        <v>46306</v>
      </c>
      <c r="F197" t="inlineStr">
        <is>
          <t>JÖNKÖPINGS LÄN</t>
        </is>
      </c>
      <c r="G197" t="inlineStr">
        <is>
          <t>GISLAVED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46306</v>
      </c>
      <c r="F198" t="inlineStr">
        <is>
          <t>JÖNKÖPINGS LÄN</t>
        </is>
      </c>
      <c r="G198" t="inlineStr">
        <is>
          <t>GISLAVED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45478</v>
      </c>
      <c r="E199" s="1" t="n">
        <v>46306</v>
      </c>
      <c r="F199" t="inlineStr">
        <is>
          <t>JÖNKÖPINGS LÄN</t>
        </is>
      </c>
      <c r="G199" t="inlineStr">
        <is>
          <t>GISLAVED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46306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46306</v>
      </c>
      <c r="F201" t="inlineStr">
        <is>
          <t>JÖNKÖPINGS LÄN</t>
        </is>
      </c>
      <c r="G201" t="inlineStr">
        <is>
          <t>GISLAVED</t>
        </is>
      </c>
      <c r="H201" t="inlineStr">
        <is>
          <t>Kyrkan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46306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46306</v>
      </c>
      <c r="F203" t="inlineStr">
        <is>
          <t>JÖNKÖPINGS LÄN</t>
        </is>
      </c>
      <c r="G203" t="inlineStr">
        <is>
          <t>GISLAVED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42602-2025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45905</v>
      </c>
      <c r="E204" s="1" t="n">
        <v>46306</v>
      </c>
      <c r="F204" t="inlineStr">
        <is>
          <t>JÖNKÖPINGS LÄN</t>
        </is>
      </c>
      <c r="G204" t="inlineStr">
        <is>
          <t>GISLAVED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58955-2021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46306</v>
      </c>
      <c r="F205" t="inlineStr">
        <is>
          <t>JÖNKÖPINGS LÄN</t>
        </is>
      </c>
      <c r="G205" t="inlineStr">
        <is>
          <t>GISLAVED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46306</v>
      </c>
      <c r="F206" t="inlineStr">
        <is>
          <t>JÖNKÖPINGS LÄN</t>
        </is>
      </c>
      <c r="G206" t="inlineStr">
        <is>
          <t>GISLAVED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46306</v>
      </c>
      <c r="F207" t="inlineStr">
        <is>
          <t>JÖNKÖPINGS LÄN</t>
        </is>
      </c>
      <c r="G207" t="inlineStr">
        <is>
          <t>GISLAVED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46306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46306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46306</v>
      </c>
      <c r="F210" t="inlineStr">
        <is>
          <t>JÖNKÖPINGS LÄN</t>
        </is>
      </c>
      <c r="G210" t="inlineStr">
        <is>
          <t>GISLAVED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46306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46306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64815-2023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45282</v>
      </c>
      <c r="E213" s="1" t="n">
        <v>46306</v>
      </c>
      <c r="F213" t="inlineStr">
        <is>
          <t>JÖNKÖPINGS LÄN</t>
        </is>
      </c>
      <c r="G213" t="inlineStr">
        <is>
          <t>GISLAVED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46306</v>
      </c>
      <c r="F214" t="inlineStr">
        <is>
          <t>JÖNKÖPINGS LÄN</t>
        </is>
      </c>
      <c r="G214" t="inlineStr">
        <is>
          <t>GISLAVED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44516</v>
      </c>
      <c r="E215" s="1" t="n">
        <v>46306</v>
      </c>
      <c r="F215" t="inlineStr">
        <is>
          <t>JÖNKÖPINGS LÄN</t>
        </is>
      </c>
      <c r="G215" t="inlineStr">
        <is>
          <t>GISLAVED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46306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46306</v>
      </c>
      <c r="F217" t="inlineStr">
        <is>
          <t>JÖNKÖPINGS LÄN</t>
        </is>
      </c>
      <c r="G217" t="inlineStr">
        <is>
          <t>GISLAVED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46306</v>
      </c>
      <c r="F218" t="inlineStr">
        <is>
          <t>JÖNKÖPINGS LÄN</t>
        </is>
      </c>
      <c r="G218" t="inlineStr">
        <is>
          <t>GISLAVED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46306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46306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46306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46306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46306</v>
      </c>
      <c r="F223" t="inlineStr">
        <is>
          <t>JÖNKÖPINGS LÄN</t>
        </is>
      </c>
      <c r="G223" t="inlineStr">
        <is>
          <t>GISLAVED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46306</v>
      </c>
      <c r="F224" t="inlineStr">
        <is>
          <t>JÖNKÖPINGS LÄN</t>
        </is>
      </c>
      <c r="G224" t="inlineStr">
        <is>
          <t>GISLAVED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46306</v>
      </c>
      <c r="F225" t="inlineStr">
        <is>
          <t>JÖNKÖPINGS LÄN</t>
        </is>
      </c>
      <c r="G225" t="inlineStr">
        <is>
          <t>GISLAVED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46306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45784</v>
      </c>
      <c r="E227" s="1" t="n">
        <v>46306</v>
      </c>
      <c r="F227" t="inlineStr">
        <is>
          <t>JÖNKÖPINGS LÄN</t>
        </is>
      </c>
      <c r="G227" t="inlineStr">
        <is>
          <t>GISLAVED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45624</v>
      </c>
      <c r="E228" s="1" t="n">
        <v>46306</v>
      </c>
      <c r="F228" t="inlineStr">
        <is>
          <t>JÖNKÖPINGS LÄN</t>
        </is>
      </c>
      <c r="G228" t="inlineStr">
        <is>
          <t>GISLAVED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74259-2021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44558</v>
      </c>
      <c r="E229" s="1" t="n">
        <v>46306</v>
      </c>
      <c r="F229" t="inlineStr">
        <is>
          <t>JÖNKÖPINGS LÄN</t>
        </is>
      </c>
      <c r="G229" t="inlineStr">
        <is>
          <t>GISLAVED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46306</v>
      </c>
      <c r="F230" t="inlineStr">
        <is>
          <t>JÖNKÖPINGS LÄN</t>
        </is>
      </c>
      <c r="G230" t="inlineStr">
        <is>
          <t>GISLAVED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46306</v>
      </c>
      <c r="F231" t="inlineStr">
        <is>
          <t>JÖNKÖPINGS LÄN</t>
        </is>
      </c>
      <c r="G231" t="inlineStr">
        <is>
          <t>GISLAVED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46306</v>
      </c>
      <c r="F232" t="inlineStr">
        <is>
          <t>JÖNKÖPINGS LÄN</t>
        </is>
      </c>
      <c r="G232" t="inlineStr">
        <is>
          <t>GISLAVED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46306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46306</v>
      </c>
      <c r="F234" t="inlineStr">
        <is>
          <t>JÖNKÖPINGS LÄN</t>
        </is>
      </c>
      <c r="G234" t="inlineStr">
        <is>
          <t>GISLAVED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45702</v>
      </c>
      <c r="E235" s="1" t="n">
        <v>46306</v>
      </c>
      <c r="F235" t="inlineStr">
        <is>
          <t>JÖNKÖPINGS LÄN</t>
        </is>
      </c>
      <c r="G235" t="inlineStr">
        <is>
          <t>GISLAVED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46306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46306</v>
      </c>
      <c r="F237" t="inlineStr">
        <is>
          <t>JÖNKÖPINGS LÄN</t>
        </is>
      </c>
      <c r="G237" t="inlineStr">
        <is>
          <t>GISLAVED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46306</v>
      </c>
      <c r="F238" t="inlineStr">
        <is>
          <t>JÖNKÖPINGS LÄN</t>
        </is>
      </c>
      <c r="G238" t="inlineStr">
        <is>
          <t>GISLAVED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32989-2024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45517</v>
      </c>
      <c r="E239" s="1" t="n">
        <v>46306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60966-2021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44496</v>
      </c>
      <c r="E240" s="1" t="n">
        <v>46306</v>
      </c>
      <c r="F240" t="inlineStr">
        <is>
          <t>JÖNKÖPINGS LÄN</t>
        </is>
      </c>
      <c r="G240" t="inlineStr">
        <is>
          <t>GISLAVED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46306</v>
      </c>
      <c r="F241" t="inlineStr">
        <is>
          <t>JÖNKÖPINGS LÄN</t>
        </is>
      </c>
      <c r="G241" t="inlineStr">
        <is>
          <t>GISLAVED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46306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45177</v>
      </c>
      <c r="E243" s="1" t="n">
        <v>46306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45511</v>
      </c>
      <c r="E244" s="1" t="n">
        <v>46306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46306</v>
      </c>
      <c r="F245" t="inlineStr">
        <is>
          <t>JÖNKÖPINGS LÄN</t>
        </is>
      </c>
      <c r="G245" t="inlineStr">
        <is>
          <t>GISLAVED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46306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44581</v>
      </c>
      <c r="E247" s="1" t="n">
        <v>46306</v>
      </c>
      <c r="F247" t="inlineStr">
        <is>
          <t>JÖNKÖPINGS LÄN</t>
        </is>
      </c>
      <c r="G247" t="inlineStr">
        <is>
          <t>GISLAVED</t>
        </is>
      </c>
      <c r="H247" t="inlineStr">
        <is>
          <t>Kommuner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46306</v>
      </c>
      <c r="F248" t="inlineStr">
        <is>
          <t>JÖNKÖPINGS LÄN</t>
        </is>
      </c>
      <c r="G248" t="inlineStr">
        <is>
          <t>GISLAVED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46306</v>
      </c>
      <c r="F249" t="inlineStr">
        <is>
          <t>JÖNKÖPINGS LÄN</t>
        </is>
      </c>
      <c r="G249" t="inlineStr">
        <is>
          <t>GISLAVED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61914-2021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46306</v>
      </c>
      <c r="F250" t="inlineStr">
        <is>
          <t>JÖNKÖPINGS LÄN</t>
        </is>
      </c>
      <c r="G250" t="inlineStr">
        <is>
          <t>GISLAVED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46306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46306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59181-2022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46306</v>
      </c>
      <c r="F253" t="inlineStr">
        <is>
          <t>JÖNKÖPINGS LÄN</t>
        </is>
      </c>
      <c r="G253" t="inlineStr">
        <is>
          <t>GISLAVED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45585</v>
      </c>
      <c r="E254" s="1" t="n">
        <v>46306</v>
      </c>
      <c r="F254" t="inlineStr">
        <is>
          <t>JÖNKÖPINGS LÄN</t>
        </is>
      </c>
      <c r="G254" t="inlineStr">
        <is>
          <t>GISLAVED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46306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46306</v>
      </c>
      <c r="F256" t="inlineStr">
        <is>
          <t>JÖNKÖPINGS LÄN</t>
        </is>
      </c>
      <c r="G256" t="inlineStr">
        <is>
          <t>GISLAVED</t>
        </is>
      </c>
      <c r="H256" t="inlineStr">
        <is>
          <t>Sveaskog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46306</v>
      </c>
      <c r="F257" t="inlineStr">
        <is>
          <t>JÖNKÖPINGS LÄN</t>
        </is>
      </c>
      <c r="G257" t="inlineStr">
        <is>
          <t>GISLAVED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46306</v>
      </c>
      <c r="F258" t="inlineStr">
        <is>
          <t>JÖNKÖPINGS LÄN</t>
        </is>
      </c>
      <c r="G258" t="inlineStr">
        <is>
          <t>GISLAVED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46306</v>
      </c>
      <c r="F259" t="inlineStr">
        <is>
          <t>JÖNKÖPINGS LÄN</t>
        </is>
      </c>
      <c r="G259" t="inlineStr">
        <is>
          <t>GISLAVED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46306</v>
      </c>
      <c r="F260" t="inlineStr">
        <is>
          <t>JÖNKÖPINGS LÄN</t>
        </is>
      </c>
      <c r="G260" t="inlineStr">
        <is>
          <t>GISLAVED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46306</v>
      </c>
      <c r="F261" t="inlineStr">
        <is>
          <t>JÖNKÖPINGS LÄN</t>
        </is>
      </c>
      <c r="G261" t="inlineStr">
        <is>
          <t>GISLAVED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46306</v>
      </c>
      <c r="F262" t="inlineStr">
        <is>
          <t>JÖNKÖPINGS LÄN</t>
        </is>
      </c>
      <c r="G262" t="inlineStr">
        <is>
          <t>GISLAVED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46306</v>
      </c>
      <c r="F263" t="inlineStr">
        <is>
          <t>JÖNKÖPINGS LÄN</t>
        </is>
      </c>
      <c r="G263" t="inlineStr">
        <is>
          <t>GISLAVED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46306</v>
      </c>
      <c r="F264" t="inlineStr">
        <is>
          <t>JÖNKÖPINGS LÄN</t>
        </is>
      </c>
      <c r="G264" t="inlineStr">
        <is>
          <t>GISLAVED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44873</v>
      </c>
      <c r="E265" s="1" t="n">
        <v>46306</v>
      </c>
      <c r="F265" t="inlineStr">
        <is>
          <t>JÖNKÖPINGS LÄN</t>
        </is>
      </c>
      <c r="G265" t="inlineStr">
        <is>
          <t>GISLAVED</t>
        </is>
      </c>
      <c r="H265" t="inlineStr">
        <is>
          <t>Kyrkan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46306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46306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45719</v>
      </c>
      <c r="E268" s="1" t="n">
        <v>46306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46306</v>
      </c>
      <c r="F269" t="inlineStr">
        <is>
          <t>JÖNKÖPINGS LÄN</t>
        </is>
      </c>
      <c r="G269" t="inlineStr">
        <is>
          <t>GISLAVED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45503</v>
      </c>
      <c r="E270" s="1" t="n">
        <v>46306</v>
      </c>
      <c r="F270" t="inlineStr">
        <is>
          <t>JÖNKÖPINGS LÄN</t>
        </is>
      </c>
      <c r="G270" t="inlineStr">
        <is>
          <t>GISLAVED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46306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46306</v>
      </c>
      <c r="F272" t="inlineStr">
        <is>
          <t>JÖNKÖPINGS LÄN</t>
        </is>
      </c>
      <c r="G272" t="inlineStr">
        <is>
          <t>GISLAVED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45011</v>
      </c>
      <c r="E273" s="1" t="n">
        <v>46306</v>
      </c>
      <c r="F273" t="inlineStr">
        <is>
          <t>JÖNKÖPINGS LÄN</t>
        </is>
      </c>
      <c r="G273" t="inlineStr">
        <is>
          <t>GISLAVED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46306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46306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46306</v>
      </c>
      <c r="F276" t="inlineStr">
        <is>
          <t>JÖNKÖPINGS LÄN</t>
        </is>
      </c>
      <c r="G276" t="inlineStr">
        <is>
          <t>GISLAVED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46306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45481</v>
      </c>
      <c r="E278" s="1" t="n">
        <v>46306</v>
      </c>
      <c r="F278" t="inlineStr">
        <is>
          <t>JÖNKÖPINGS LÄN</t>
        </is>
      </c>
      <c r="G278" t="inlineStr">
        <is>
          <t>GISLAVED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46306</v>
      </c>
      <c r="F279" t="inlineStr">
        <is>
          <t>JÖNKÖPINGS LÄN</t>
        </is>
      </c>
      <c r="G279" t="inlineStr">
        <is>
          <t>GISLAVED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46306</v>
      </c>
      <c r="F280" t="inlineStr">
        <is>
          <t>JÖNKÖPINGS LÄN</t>
        </is>
      </c>
      <c r="G280" t="inlineStr">
        <is>
          <t>GISLAVED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46306</v>
      </c>
      <c r="F281" t="inlineStr">
        <is>
          <t>JÖNKÖPINGS LÄN</t>
        </is>
      </c>
      <c r="G281" t="inlineStr">
        <is>
          <t>GISLAVED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46306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45552</v>
      </c>
      <c r="E283" s="1" t="n">
        <v>46306</v>
      </c>
      <c r="F283" t="inlineStr">
        <is>
          <t>JÖNKÖPINGS LÄN</t>
        </is>
      </c>
      <c r="G283" t="inlineStr">
        <is>
          <t>GISLAVED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45729</v>
      </c>
      <c r="E284" s="1" t="n">
        <v>46306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46306</v>
      </c>
      <c r="F285" t="inlineStr">
        <is>
          <t>JÖNKÖPINGS LÄN</t>
        </is>
      </c>
      <c r="G285" t="inlineStr">
        <is>
          <t>GISLAVED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45494</v>
      </c>
      <c r="E286" s="1" t="n">
        <v>46306</v>
      </c>
      <c r="F286" t="inlineStr">
        <is>
          <t>JÖNKÖPINGS LÄN</t>
        </is>
      </c>
      <c r="G286" t="inlineStr">
        <is>
          <t>GISLAVED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46306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11912-2025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45728</v>
      </c>
      <c r="E288" s="1" t="n">
        <v>46306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46306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11905-2025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45728</v>
      </c>
      <c r="E290" s="1" t="n">
        <v>46306</v>
      </c>
      <c r="F290" t="inlineStr">
        <is>
          <t>JÖNKÖPINGS LÄN</t>
        </is>
      </c>
      <c r="G290" t="inlineStr">
        <is>
          <t>GISLAVED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46306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46306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45727</v>
      </c>
      <c r="E293" s="1" t="n">
        <v>46306</v>
      </c>
      <c r="F293" t="inlineStr">
        <is>
          <t>JÖNKÖPINGS LÄN</t>
        </is>
      </c>
      <c r="G293" t="inlineStr">
        <is>
          <t>GISLAVED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46306</v>
      </c>
      <c r="F294" t="inlineStr">
        <is>
          <t>JÖNKÖPINGS LÄN</t>
        </is>
      </c>
      <c r="G294" t="inlineStr">
        <is>
          <t>GISLAVED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46306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46306</v>
      </c>
      <c r="F296" t="inlineStr">
        <is>
          <t>JÖNKÖPINGS LÄN</t>
        </is>
      </c>
      <c r="G296" t="inlineStr">
        <is>
          <t>GISLAVED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46306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46306</v>
      </c>
      <c r="F298" t="inlineStr">
        <is>
          <t>JÖNKÖPINGS LÄN</t>
        </is>
      </c>
      <c r="G298" t="inlineStr">
        <is>
          <t>GISLAVED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46306</v>
      </c>
      <c r="F299" t="inlineStr">
        <is>
          <t>JÖNKÖPINGS LÄN</t>
        </is>
      </c>
      <c r="G299" t="inlineStr">
        <is>
          <t>GISLAVED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46306</v>
      </c>
      <c r="F300" t="inlineStr">
        <is>
          <t>JÖNKÖPINGS LÄN</t>
        </is>
      </c>
      <c r="G300" t="inlineStr">
        <is>
          <t>GISLAVED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46306</v>
      </c>
      <c r="F301" t="inlineStr">
        <is>
          <t>JÖNKÖPINGS LÄN</t>
        </is>
      </c>
      <c r="G301" t="inlineStr">
        <is>
          <t>GISLAVED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46306</v>
      </c>
      <c r="F302" t="inlineStr">
        <is>
          <t>JÖNKÖPINGS LÄN</t>
        </is>
      </c>
      <c r="G302" t="inlineStr">
        <is>
          <t>GISLAVED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46306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46306</v>
      </c>
      <c r="F304" t="inlineStr">
        <is>
          <t>JÖNKÖPINGS LÄN</t>
        </is>
      </c>
      <c r="G304" t="inlineStr">
        <is>
          <t>GISLAVED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46306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46306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46306</v>
      </c>
      <c r="F307" t="inlineStr">
        <is>
          <t>JÖNKÖPINGS LÄN</t>
        </is>
      </c>
      <c r="G307" t="inlineStr">
        <is>
          <t>GISLAVED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46306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46306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46306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45498</v>
      </c>
      <c r="E311" s="1" t="n">
        <v>46306</v>
      </c>
      <c r="F311" t="inlineStr">
        <is>
          <t>JÖNKÖPINGS LÄN</t>
        </is>
      </c>
      <c r="G311" t="inlineStr">
        <is>
          <t>GISLAVED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45447</v>
      </c>
      <c r="E312" s="1" t="n">
        <v>46306</v>
      </c>
      <c r="F312" t="inlineStr">
        <is>
          <t>JÖNKÖPINGS LÄN</t>
        </is>
      </c>
      <c r="G312" t="inlineStr">
        <is>
          <t>GISLAVED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44926</v>
      </c>
      <c r="E313" s="1" t="n">
        <v>46306</v>
      </c>
      <c r="F313" t="inlineStr">
        <is>
          <t>JÖNKÖPINGS LÄN</t>
        </is>
      </c>
      <c r="G313" t="inlineStr">
        <is>
          <t>GISLAVED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46306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44606</v>
      </c>
      <c r="E315" s="1" t="n">
        <v>46306</v>
      </c>
      <c r="F315" t="inlineStr">
        <is>
          <t>JÖNKÖPINGS LÄN</t>
        </is>
      </c>
      <c r="G315" t="inlineStr">
        <is>
          <t>GISLAVED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44748</v>
      </c>
      <c r="E316" s="1" t="n">
        <v>46306</v>
      </c>
      <c r="F316" t="inlineStr">
        <is>
          <t>JÖNKÖPINGS LÄN</t>
        </is>
      </c>
      <c r="G316" t="inlineStr">
        <is>
          <t>GISLAVED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46306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46306</v>
      </c>
      <c r="F318" t="inlineStr">
        <is>
          <t>JÖNKÖPINGS LÄN</t>
        </is>
      </c>
      <c r="G318" t="inlineStr">
        <is>
          <t>GISLAVED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46306</v>
      </c>
      <c r="F319" t="inlineStr">
        <is>
          <t>JÖNKÖPINGS LÄN</t>
        </is>
      </c>
      <c r="G319" t="inlineStr">
        <is>
          <t>GISLAVED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46306</v>
      </c>
      <c r="F320" t="inlineStr">
        <is>
          <t>JÖNKÖPINGS LÄN</t>
        </is>
      </c>
      <c r="G320" t="inlineStr">
        <is>
          <t>GISLAVED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46306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45320</v>
      </c>
      <c r="E322" s="1" t="n">
        <v>46306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44594</v>
      </c>
      <c r="E323" s="1" t="n">
        <v>46306</v>
      </c>
      <c r="F323" t="inlineStr">
        <is>
          <t>JÖNKÖPINGS LÄN</t>
        </is>
      </c>
      <c r="G323" t="inlineStr">
        <is>
          <t>GISLAVED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45100</v>
      </c>
      <c r="E324" s="1" t="n">
        <v>46306</v>
      </c>
      <c r="F324" t="inlineStr">
        <is>
          <t>JÖNKÖPINGS LÄN</t>
        </is>
      </c>
      <c r="G324" t="inlineStr">
        <is>
          <t>GISLAVED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46306</v>
      </c>
      <c r="F325" t="inlineStr">
        <is>
          <t>JÖNKÖPINGS LÄN</t>
        </is>
      </c>
      <c r="G325" t="inlineStr">
        <is>
          <t>GISLAVED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54383-2024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45617</v>
      </c>
      <c r="E326" s="1" t="n">
        <v>46306</v>
      </c>
      <c r="F326" t="inlineStr">
        <is>
          <t>JÖNKÖPINGS LÄN</t>
        </is>
      </c>
      <c r="G326" t="inlineStr">
        <is>
          <t>GISLAVED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46306</v>
      </c>
      <c r="F327" t="inlineStr">
        <is>
          <t>JÖNKÖPINGS LÄN</t>
        </is>
      </c>
      <c r="G327" t="inlineStr">
        <is>
          <t>GISLAVED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46306</v>
      </c>
      <c r="F328" t="inlineStr">
        <is>
          <t>JÖNKÖPINGS LÄN</t>
        </is>
      </c>
      <c r="G328" t="inlineStr">
        <is>
          <t>GISLAVED</t>
        </is>
      </c>
      <c r="I328" t="n">
        <v>13.7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46306</v>
      </c>
      <c r="F329" t="inlineStr">
        <is>
          <t>JÖNKÖPINGS LÄN</t>
        </is>
      </c>
      <c r="G329" t="inlineStr">
        <is>
          <t>GISLAVED</t>
        </is>
      </c>
      <c r="H329" t="inlineStr">
        <is>
          <t>Kyrkan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46306</v>
      </c>
      <c r="F330" t="inlineStr">
        <is>
          <t>JÖNKÖPINGS LÄN</t>
        </is>
      </c>
      <c r="G330" t="inlineStr">
        <is>
          <t>GISLAVED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46306</v>
      </c>
      <c r="F331" t="inlineStr">
        <is>
          <t>JÖNKÖPINGS LÄN</t>
        </is>
      </c>
      <c r="G331" t="inlineStr">
        <is>
          <t>GISLAVED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46306</v>
      </c>
      <c r="F332" t="inlineStr">
        <is>
          <t>JÖNKÖPINGS LÄN</t>
        </is>
      </c>
      <c r="G332" t="inlineStr">
        <is>
          <t>GISLAVED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44749</v>
      </c>
      <c r="E333" s="1" t="n">
        <v>46306</v>
      </c>
      <c r="F333" t="inlineStr">
        <is>
          <t>JÖNKÖPINGS LÄN</t>
        </is>
      </c>
      <c r="G333" t="inlineStr">
        <is>
          <t>GISLAVED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46306</v>
      </c>
      <c r="F334" t="inlineStr">
        <is>
          <t>JÖNKÖPINGS LÄN</t>
        </is>
      </c>
      <c r="G334" t="inlineStr">
        <is>
          <t>GISLAVED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46306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45404</v>
      </c>
      <c r="E336" s="1" t="n">
        <v>46306</v>
      </c>
      <c r="F336" t="inlineStr">
        <is>
          <t>JÖNKÖPINGS LÄN</t>
        </is>
      </c>
      <c r="G336" t="inlineStr">
        <is>
          <t>GISLAVED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46306</v>
      </c>
      <c r="F337" t="inlineStr">
        <is>
          <t>JÖNKÖPINGS LÄN</t>
        </is>
      </c>
      <c r="G337" t="inlineStr">
        <is>
          <t>GISLAVED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46306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46306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45425</v>
      </c>
      <c r="E340" s="1" t="n">
        <v>46306</v>
      </c>
      <c r="F340" t="inlineStr">
        <is>
          <t>JÖNKÖPINGS LÄN</t>
        </is>
      </c>
      <c r="G340" t="inlineStr">
        <is>
          <t>GISLAVED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27136-2025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46306</v>
      </c>
      <c r="F341" t="inlineStr">
        <is>
          <t>JÖNKÖPINGS LÄN</t>
        </is>
      </c>
      <c r="G341" t="inlineStr">
        <is>
          <t>GISLAVED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46306</v>
      </c>
      <c r="F342" t="inlineStr">
        <is>
          <t>JÖNKÖPINGS LÄN</t>
        </is>
      </c>
      <c r="G342" t="inlineStr">
        <is>
          <t>GISLAVED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45812</v>
      </c>
      <c r="E343" s="1" t="n">
        <v>46306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46306</v>
      </c>
      <c r="F344" t="inlineStr">
        <is>
          <t>JÖNKÖPINGS LÄN</t>
        </is>
      </c>
      <c r="G344" t="inlineStr">
        <is>
          <t>GISLAVED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46306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46306</v>
      </c>
      <c r="F346" t="inlineStr">
        <is>
          <t>JÖNKÖPINGS LÄN</t>
        </is>
      </c>
      <c r="G346" t="inlineStr">
        <is>
          <t>GISLAVED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46306</v>
      </c>
      <c r="F347" t="inlineStr">
        <is>
          <t>JÖNKÖPINGS LÄN</t>
        </is>
      </c>
      <c r="G347" t="inlineStr">
        <is>
          <t>GISLAVED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45675</v>
      </c>
      <c r="E348" s="1" t="n">
        <v>46306</v>
      </c>
      <c r="F348" t="inlineStr">
        <is>
          <t>JÖNKÖPINGS LÄN</t>
        </is>
      </c>
      <c r="G348" t="inlineStr">
        <is>
          <t>GISLAVED</t>
        </is>
      </c>
      <c r="H348" t="inlineStr">
        <is>
          <t>Kommuner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46306</v>
      </c>
      <c r="F349" t="inlineStr">
        <is>
          <t>JÖNKÖPINGS LÄN</t>
        </is>
      </c>
      <c r="G349" t="inlineStr">
        <is>
          <t>GISLAVED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45708</v>
      </c>
      <c r="E350" s="1" t="n">
        <v>46306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45355</v>
      </c>
      <c r="E351" s="1" t="n">
        <v>46306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45753</v>
      </c>
      <c r="E352" s="1" t="n">
        <v>46306</v>
      </c>
      <c r="F352" t="inlineStr">
        <is>
          <t>JÖNKÖPINGS LÄN</t>
        </is>
      </c>
      <c r="G352" t="inlineStr">
        <is>
          <t>GISLAVED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45748</v>
      </c>
      <c r="E353" s="1" t="n">
        <v>46306</v>
      </c>
      <c r="F353" t="inlineStr">
        <is>
          <t>JÖNKÖPINGS LÄN</t>
        </is>
      </c>
      <c r="G353" t="inlineStr">
        <is>
          <t>GISLAVED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46306</v>
      </c>
      <c r="F354" t="inlineStr">
        <is>
          <t>JÖNKÖPINGS LÄN</t>
        </is>
      </c>
      <c r="G354" t="inlineStr">
        <is>
          <t>GISLAVED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46306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45950</v>
      </c>
      <c r="E356" s="1" t="n">
        <v>46306</v>
      </c>
      <c r="F356" t="inlineStr">
        <is>
          <t>JÖNKÖPINGS LÄN</t>
        </is>
      </c>
      <c r="G356" t="inlineStr">
        <is>
          <t>GISLAVED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46306</v>
      </c>
      <c r="F357" t="inlineStr">
        <is>
          <t>JÖNKÖPINGS LÄN</t>
        </is>
      </c>
      <c r="G357" t="inlineStr">
        <is>
          <t>GISLAVED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45579</v>
      </c>
      <c r="E358" s="1" t="n">
        <v>46306</v>
      </c>
      <c r="F358" t="inlineStr">
        <is>
          <t>JÖNKÖPINGS LÄN</t>
        </is>
      </c>
      <c r="G358" t="inlineStr">
        <is>
          <t>GISLAVED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46306</v>
      </c>
      <c r="F359" t="inlineStr">
        <is>
          <t>JÖNKÖPINGS LÄN</t>
        </is>
      </c>
      <c r="G359" t="inlineStr">
        <is>
          <t>GISLAVED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45702</v>
      </c>
      <c r="E360" s="1" t="n">
        <v>46306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46306</v>
      </c>
      <c r="F361" t="inlineStr">
        <is>
          <t>JÖNKÖPINGS LÄN</t>
        </is>
      </c>
      <c r="G361" t="inlineStr">
        <is>
          <t>GISLAVED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46306</v>
      </c>
      <c r="F362" t="inlineStr">
        <is>
          <t>JÖNKÖPINGS LÄN</t>
        </is>
      </c>
      <c r="G362" t="inlineStr">
        <is>
          <t>GISLAVED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45624</v>
      </c>
      <c r="E363" s="1" t="n">
        <v>46306</v>
      </c>
      <c r="F363" t="inlineStr">
        <is>
          <t>JÖNKÖPINGS LÄN</t>
        </is>
      </c>
      <c r="G363" t="inlineStr">
        <is>
          <t>GISLAVED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46306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45042</v>
      </c>
      <c r="E365" s="1" t="n">
        <v>46306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46306</v>
      </c>
      <c r="F366" t="inlineStr">
        <is>
          <t>JÖNKÖPINGS LÄN</t>
        </is>
      </c>
      <c r="G366" t="inlineStr">
        <is>
          <t>GISLAVED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46306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46306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46306</v>
      </c>
      <c r="F369" t="inlineStr">
        <is>
          <t>JÖNKÖPINGS LÄN</t>
        </is>
      </c>
      <c r="G369" t="inlineStr">
        <is>
          <t>GISLAVED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46306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46306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46306</v>
      </c>
      <c r="F372" t="inlineStr">
        <is>
          <t>JÖNKÖPINGS LÄN</t>
        </is>
      </c>
      <c r="G372" t="inlineStr">
        <is>
          <t>GISLAVED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46306</v>
      </c>
      <c r="F373" t="inlineStr">
        <is>
          <t>JÖNKÖPINGS LÄN</t>
        </is>
      </c>
      <c r="G373" t="inlineStr">
        <is>
          <t>GISLAVED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44867</v>
      </c>
      <c r="E374" s="1" t="n">
        <v>46306</v>
      </c>
      <c r="F374" t="inlineStr">
        <is>
          <t>JÖNKÖPINGS LÄN</t>
        </is>
      </c>
      <c r="G374" t="inlineStr">
        <is>
          <t>GISLAVED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47309-2022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46306</v>
      </c>
      <c r="F375" t="inlineStr">
        <is>
          <t>JÖNKÖPINGS LÄN</t>
        </is>
      </c>
      <c r="G375" t="inlineStr">
        <is>
          <t>GISLAVED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44497</v>
      </c>
      <c r="E376" s="1" t="n">
        <v>46306</v>
      </c>
      <c r="F376" t="inlineStr">
        <is>
          <t>JÖNKÖPINGS LÄN</t>
        </is>
      </c>
      <c r="G376" t="inlineStr">
        <is>
          <t>GISLAVED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46306</v>
      </c>
      <c r="F377" t="inlineStr">
        <is>
          <t>JÖNKÖPINGS LÄN</t>
        </is>
      </c>
      <c r="G377" t="inlineStr">
        <is>
          <t>GISLAVED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45952</v>
      </c>
      <c r="E378" s="1" t="n">
        <v>46306</v>
      </c>
      <c r="F378" t="inlineStr">
        <is>
          <t>JÖNKÖPINGS LÄN</t>
        </is>
      </c>
      <c r="G378" t="inlineStr">
        <is>
          <t>GISLAVED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45026</v>
      </c>
      <c r="E379" s="1" t="n">
        <v>46306</v>
      </c>
      <c r="F379" t="inlineStr">
        <is>
          <t>JÖNKÖPINGS LÄN</t>
        </is>
      </c>
      <c r="G379" t="inlineStr">
        <is>
          <t>GISLAVED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45511</v>
      </c>
      <c r="E380" s="1" t="n">
        <v>46306</v>
      </c>
      <c r="F380" t="inlineStr">
        <is>
          <t>JÖNKÖPINGS LÄN</t>
        </is>
      </c>
      <c r="G380" t="inlineStr">
        <is>
          <t>GISLAVED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45259</v>
      </c>
      <c r="E381" s="1" t="n">
        <v>46306</v>
      </c>
      <c r="F381" t="inlineStr">
        <is>
          <t>JÖNKÖPINGS LÄN</t>
        </is>
      </c>
      <c r="G381" t="inlineStr">
        <is>
          <t>GISLAVED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46306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46306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46306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46306</v>
      </c>
      <c r="F385" t="inlineStr">
        <is>
          <t>JÖNKÖPINGS LÄN</t>
        </is>
      </c>
      <c r="G385" t="inlineStr">
        <is>
          <t>GISLAVED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46306</v>
      </c>
      <c r="F386" t="inlineStr">
        <is>
          <t>JÖNKÖPINGS LÄN</t>
        </is>
      </c>
      <c r="G386" t="inlineStr">
        <is>
          <t>GISLAVED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46306</v>
      </c>
      <c r="F387" t="inlineStr">
        <is>
          <t>JÖNKÖPINGS LÄN</t>
        </is>
      </c>
      <c r="G387" t="inlineStr">
        <is>
          <t>GISLAVED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46306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46306</v>
      </c>
      <c r="F389" t="inlineStr">
        <is>
          <t>JÖNKÖPINGS LÄN</t>
        </is>
      </c>
      <c r="G389" t="inlineStr">
        <is>
          <t>GISLAVED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46306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44498</v>
      </c>
      <c r="E391" s="1" t="n">
        <v>46306</v>
      </c>
      <c r="F391" t="inlineStr">
        <is>
          <t>JÖNKÖPINGS LÄN</t>
        </is>
      </c>
      <c r="G391" t="inlineStr">
        <is>
          <t>GISLAVED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53458-2025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46306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45959</v>
      </c>
      <c r="E393" s="1" t="n">
        <v>46306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46306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45959</v>
      </c>
      <c r="E395" s="1" t="n">
        <v>46306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45959</v>
      </c>
      <c r="E396" s="1" t="n">
        <v>46306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46306</v>
      </c>
      <c r="F397" t="inlineStr">
        <is>
          <t>JÖNKÖPINGS LÄN</t>
        </is>
      </c>
      <c r="G397" t="inlineStr">
        <is>
          <t>GISLAVED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46306</v>
      </c>
      <c r="F398" t="inlineStr">
        <is>
          <t>JÖNKÖPINGS LÄN</t>
        </is>
      </c>
      <c r="G398" t="inlineStr">
        <is>
          <t>GISLAVED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53963-2025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46306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24709-2023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45084</v>
      </c>
      <c r="E400" s="1" t="n">
        <v>46306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46306</v>
      </c>
      <c r="F401" t="inlineStr">
        <is>
          <t>JÖNKÖPINGS LÄN</t>
        </is>
      </c>
      <c r="G401" t="inlineStr">
        <is>
          <t>GISLAVED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45000</v>
      </c>
      <c r="E402" s="1" t="n">
        <v>46306</v>
      </c>
      <c r="F402" t="inlineStr">
        <is>
          <t>JÖNKÖPINGS LÄN</t>
        </is>
      </c>
      <c r="G402" t="inlineStr">
        <is>
          <t>GISLAVED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46306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45963</v>
      </c>
      <c r="E404" s="1" t="n">
        <v>46306</v>
      </c>
      <c r="F404" t="inlineStr">
        <is>
          <t>JÖNKÖPINGS LÄN</t>
        </is>
      </c>
      <c r="G404" t="inlineStr">
        <is>
          <t>GISLAVED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44735</v>
      </c>
      <c r="E405" s="1" t="n">
        <v>46306</v>
      </c>
      <c r="F405" t="inlineStr">
        <is>
          <t>JÖNKÖPINGS LÄN</t>
        </is>
      </c>
      <c r="G405" t="inlineStr">
        <is>
          <t>GISLAVED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45964</v>
      </c>
      <c r="E406" s="1" t="n">
        <v>46306</v>
      </c>
      <c r="F406" t="inlineStr">
        <is>
          <t>JÖNKÖPINGS LÄN</t>
        </is>
      </c>
      <c r="G406" t="inlineStr">
        <is>
          <t>GISLAVED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46306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44776</v>
      </c>
      <c r="E408" s="1" t="n">
        <v>46306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44974</v>
      </c>
      <c r="E409" s="1" t="n">
        <v>46306</v>
      </c>
      <c r="F409" t="inlineStr">
        <is>
          <t>JÖNKÖPINGS LÄN</t>
        </is>
      </c>
      <c r="G409" t="inlineStr">
        <is>
          <t>GISLAVED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44711</v>
      </c>
      <c r="E410" s="1" t="n">
        <v>46306</v>
      </c>
      <c r="F410" t="inlineStr">
        <is>
          <t>JÖNKÖPINGS LÄN</t>
        </is>
      </c>
      <c r="G410" t="inlineStr">
        <is>
          <t>GISLAVED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45176</v>
      </c>
      <c r="E411" s="1" t="n">
        <v>46306</v>
      </c>
      <c r="F411" t="inlineStr">
        <is>
          <t>JÖNKÖPINGS LÄN</t>
        </is>
      </c>
      <c r="G411" t="inlineStr">
        <is>
          <t>GISLAVED</t>
        </is>
      </c>
      <c r="H411" t="inlineStr">
        <is>
          <t>Kyrkan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46306</v>
      </c>
      <c r="F412" t="inlineStr">
        <is>
          <t>JÖNKÖPINGS LÄN</t>
        </is>
      </c>
      <c r="G412" t="inlineStr">
        <is>
          <t>GISLAVED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46306</v>
      </c>
      <c r="F413" t="inlineStr">
        <is>
          <t>JÖNKÖPINGS LÄN</t>
        </is>
      </c>
      <c r="G413" t="inlineStr">
        <is>
          <t>GISLAVED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45212</v>
      </c>
      <c r="E414" s="1" t="n">
        <v>46306</v>
      </c>
      <c r="F414" t="inlineStr">
        <is>
          <t>JÖNKÖPINGS LÄN</t>
        </is>
      </c>
      <c r="G414" t="inlineStr">
        <is>
          <t>GISLAVED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47223-2025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46306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46306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46306</v>
      </c>
      <c r="F417" t="inlineStr">
        <is>
          <t>JÖNKÖPINGS LÄN</t>
        </is>
      </c>
      <c r="G417" t="inlineStr">
        <is>
          <t>GISLAVED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45712</v>
      </c>
      <c r="E418" s="1" t="n">
        <v>46306</v>
      </c>
      <c r="F418" t="inlineStr">
        <is>
          <t>JÖNKÖPINGS LÄN</t>
        </is>
      </c>
      <c r="G418" t="inlineStr">
        <is>
          <t>GISLAVED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46306</v>
      </c>
      <c r="F419" t="inlineStr">
        <is>
          <t>JÖNKÖPINGS LÄN</t>
        </is>
      </c>
      <c r="G419" t="inlineStr">
        <is>
          <t>GISLAVED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46306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46306</v>
      </c>
      <c r="F421" t="inlineStr">
        <is>
          <t>JÖNKÖPINGS LÄN</t>
        </is>
      </c>
      <c r="G421" t="inlineStr">
        <is>
          <t>GISLAVED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45968</v>
      </c>
      <c r="E422" s="1" t="n">
        <v>46306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46306</v>
      </c>
      <c r="F423" t="inlineStr">
        <is>
          <t>JÖNKÖPINGS LÄN</t>
        </is>
      </c>
      <c r="G423" t="inlineStr">
        <is>
          <t>GISLAVED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46306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55543-2025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46306</v>
      </c>
      <c r="F425" t="inlineStr">
        <is>
          <t>JÖNKÖPINGS LÄN</t>
        </is>
      </c>
      <c r="G425" t="inlineStr">
        <is>
          <t>GISLAVED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46306</v>
      </c>
      <c r="F426" t="inlineStr">
        <is>
          <t>JÖNKÖPINGS LÄN</t>
        </is>
      </c>
      <c r="G426" t="inlineStr">
        <is>
          <t>GISLAVED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45235</v>
      </c>
      <c r="E427" s="1" t="n">
        <v>46306</v>
      </c>
      <c r="F427" t="inlineStr">
        <is>
          <t>JÖNKÖPINGS LÄN</t>
        </is>
      </c>
      <c r="G427" t="inlineStr">
        <is>
          <t>GISLAVED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46306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46306</v>
      </c>
      <c r="F429" t="inlineStr">
        <is>
          <t>JÖNKÖPINGS LÄN</t>
        </is>
      </c>
      <c r="G429" t="inlineStr">
        <is>
          <t>GISLAVED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46306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46306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46306</v>
      </c>
      <c r="F432" t="inlineStr">
        <is>
          <t>JÖNKÖPINGS LÄN</t>
        </is>
      </c>
      <c r="G432" t="inlineStr">
        <is>
          <t>GISLAVED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46306</v>
      </c>
      <c r="F433" t="inlineStr">
        <is>
          <t>JÖNKÖPINGS LÄN</t>
        </is>
      </c>
      <c r="G433" t="inlineStr">
        <is>
          <t>GISLAVED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46306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46306</v>
      </c>
      <c r="F435" t="inlineStr">
        <is>
          <t>JÖNKÖPINGS LÄN</t>
        </is>
      </c>
      <c r="G435" t="inlineStr">
        <is>
          <t>GISLAVED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55851-2025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46306</v>
      </c>
      <c r="F436" t="inlineStr">
        <is>
          <t>JÖNKÖPINGS LÄN</t>
        </is>
      </c>
      <c r="G436" t="inlineStr">
        <is>
          <t>GISLAVED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46306</v>
      </c>
      <c r="F437" t="inlineStr">
        <is>
          <t>JÖNKÖPINGS LÄN</t>
        </is>
      </c>
      <c r="G437" t="inlineStr">
        <is>
          <t>GISLAVED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46306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46306</v>
      </c>
      <c r="F439" t="inlineStr">
        <is>
          <t>JÖNKÖPINGS LÄN</t>
        </is>
      </c>
      <c r="G439" t="inlineStr">
        <is>
          <t>GISLAVED</t>
        </is>
      </c>
      <c r="H439" t="inlineStr">
        <is>
          <t>Kommuner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44739</v>
      </c>
      <c r="E440" s="1" t="n">
        <v>46306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46306</v>
      </c>
      <c r="F441" t="inlineStr">
        <is>
          <t>JÖNKÖPINGS LÄN</t>
        </is>
      </c>
      <c r="G441" t="inlineStr">
        <is>
          <t>GISLAVED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46306</v>
      </c>
      <c r="F442" t="inlineStr">
        <is>
          <t>JÖNKÖPINGS LÄN</t>
        </is>
      </c>
      <c r="G442" t="inlineStr">
        <is>
          <t>GISLAVED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46306</v>
      </c>
      <c r="F443" t="inlineStr">
        <is>
          <t>JÖNKÖPINGS LÄN</t>
        </is>
      </c>
      <c r="G443" t="inlineStr">
        <is>
          <t>GISLAVED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45315</v>
      </c>
      <c r="E444" s="1" t="n">
        <v>46306</v>
      </c>
      <c r="F444" t="inlineStr">
        <is>
          <t>JÖNKÖPINGS LÄN</t>
        </is>
      </c>
      <c r="G444" t="inlineStr">
        <is>
          <t>GISLAVED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46306</v>
      </c>
      <c r="F445" t="inlineStr">
        <is>
          <t>JÖNKÖPINGS LÄN</t>
        </is>
      </c>
      <c r="G445" t="inlineStr">
        <is>
          <t>GISLAVED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46306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46306</v>
      </c>
      <c r="F447" t="inlineStr">
        <is>
          <t>JÖNKÖPINGS LÄN</t>
        </is>
      </c>
      <c r="G447" t="inlineStr">
        <is>
          <t>GISLAVED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46306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46306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45317</v>
      </c>
      <c r="E450" s="1" t="n">
        <v>46306</v>
      </c>
      <c r="F450" t="inlineStr">
        <is>
          <t>JÖNKÖPINGS LÄN</t>
        </is>
      </c>
      <c r="G450" t="inlineStr">
        <is>
          <t>GISLAVED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46306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45796</v>
      </c>
      <c r="E452" s="1" t="n">
        <v>46306</v>
      </c>
      <c r="F452" t="inlineStr">
        <is>
          <t>JÖNKÖPINGS LÄN</t>
        </is>
      </c>
      <c r="G452" t="inlineStr">
        <is>
          <t>GISLAVED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16717-2025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45754</v>
      </c>
      <c r="E453" s="1" t="n">
        <v>46306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45357</v>
      </c>
      <c r="E454" s="1" t="n">
        <v>46306</v>
      </c>
      <c r="F454" t="inlineStr">
        <is>
          <t>JÖNKÖPINGS LÄN</t>
        </is>
      </c>
      <c r="G454" t="inlineStr">
        <is>
          <t>GISLAVED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46306</v>
      </c>
      <c r="F455" t="inlineStr">
        <is>
          <t>JÖNKÖPINGS LÄN</t>
        </is>
      </c>
      <c r="G455" t="inlineStr">
        <is>
          <t>GISLAVED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33644-2023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46306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46306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46306</v>
      </c>
      <c r="F458" t="inlineStr">
        <is>
          <t>JÖNKÖPINGS LÄN</t>
        </is>
      </c>
      <c r="G458" t="inlineStr">
        <is>
          <t>GISLAVED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45863</v>
      </c>
      <c r="E459" s="1" t="n">
        <v>46306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46306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44721</v>
      </c>
      <c r="E461" s="1" t="n">
        <v>46306</v>
      </c>
      <c r="F461" t="inlineStr">
        <is>
          <t>JÖNKÖPINGS LÄN</t>
        </is>
      </c>
      <c r="G461" t="inlineStr">
        <is>
          <t>GISLAVED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46306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46306</v>
      </c>
      <c r="F463" t="inlineStr">
        <is>
          <t>JÖNKÖPINGS LÄN</t>
        </is>
      </c>
      <c r="G463" t="inlineStr">
        <is>
          <t>GISLAVED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46306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46306</v>
      </c>
      <c r="F465" t="inlineStr">
        <is>
          <t>JÖNKÖPINGS LÄN</t>
        </is>
      </c>
      <c r="G465" t="inlineStr">
        <is>
          <t>GISLAVED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46306</v>
      </c>
      <c r="F466" t="inlineStr">
        <is>
          <t>JÖNKÖPINGS LÄN</t>
        </is>
      </c>
      <c r="G466" t="inlineStr">
        <is>
          <t>GISLAVED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41757-2023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46306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45465</v>
      </c>
      <c r="E468" s="1" t="n">
        <v>46306</v>
      </c>
      <c r="F468" t="inlineStr">
        <is>
          <t>JÖNKÖPINGS LÄN</t>
        </is>
      </c>
      <c r="G468" t="inlineStr">
        <is>
          <t>GISLAVED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45465</v>
      </c>
      <c r="E469" s="1" t="n">
        <v>46306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45518</v>
      </c>
      <c r="E470" s="1" t="n">
        <v>46306</v>
      </c>
      <c r="F470" t="inlineStr">
        <is>
          <t>JÖNKÖPINGS LÄN</t>
        </is>
      </c>
      <c r="G470" t="inlineStr">
        <is>
          <t>GISLAVED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45680</v>
      </c>
      <c r="E471" s="1" t="n">
        <v>46306</v>
      </c>
      <c r="F471" t="inlineStr">
        <is>
          <t>JÖNKÖPINGS LÄN</t>
        </is>
      </c>
      <c r="G471" t="inlineStr">
        <is>
          <t>GISLAVED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46306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45366</v>
      </c>
      <c r="E473" s="1" t="n">
        <v>46306</v>
      </c>
      <c r="F473" t="inlineStr">
        <is>
          <t>JÖNKÖPINGS LÄN</t>
        </is>
      </c>
      <c r="G473" t="inlineStr">
        <is>
          <t>GISLAVED</t>
        </is>
      </c>
      <c r="H473" t="inlineStr">
        <is>
          <t>Kyrkan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45545</v>
      </c>
      <c r="E474" s="1" t="n">
        <v>46306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45465</v>
      </c>
      <c r="E475" s="1" t="n">
        <v>46306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52993-2024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46306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45849</v>
      </c>
      <c r="E477" s="1" t="n">
        <v>46306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46306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45395</v>
      </c>
      <c r="E479" s="1" t="n">
        <v>46306</v>
      </c>
      <c r="F479" t="inlineStr">
        <is>
          <t>JÖNKÖPINGS LÄN</t>
        </is>
      </c>
      <c r="G479" t="inlineStr">
        <is>
          <t>GISLAVED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45395</v>
      </c>
      <c r="E480" s="1" t="n">
        <v>46306</v>
      </c>
      <c r="F480" t="inlineStr">
        <is>
          <t>JÖNKÖPINGS LÄN</t>
        </is>
      </c>
      <c r="G480" t="inlineStr">
        <is>
          <t>GISLAVED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46306</v>
      </c>
      <c r="F481" t="inlineStr">
        <is>
          <t>JÖNKÖPINGS LÄN</t>
        </is>
      </c>
      <c r="G481" t="inlineStr">
        <is>
          <t>GISLAVED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46306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56926-2021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44482</v>
      </c>
      <c r="E483" s="1" t="n">
        <v>46306</v>
      </c>
      <c r="F483" t="inlineStr">
        <is>
          <t>JÖNKÖPINGS LÄN</t>
        </is>
      </c>
      <c r="G483" t="inlineStr">
        <is>
          <t>GISLAVED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45465</v>
      </c>
      <c r="E484" s="1" t="n">
        <v>46306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45465</v>
      </c>
      <c r="E485" s="1" t="n">
        <v>46306</v>
      </c>
      <c r="F485" t="inlineStr">
        <is>
          <t>JÖNKÖPINGS LÄN</t>
        </is>
      </c>
      <c r="G485" t="inlineStr">
        <is>
          <t>GISLAVED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45498</v>
      </c>
      <c r="E486" s="1" t="n">
        <v>46306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45721</v>
      </c>
      <c r="E487" s="1" t="n">
        <v>46306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62762-2022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44926</v>
      </c>
      <c r="E488" s="1" t="n">
        <v>46306</v>
      </c>
      <c r="F488" t="inlineStr">
        <is>
          <t>JÖNKÖPINGS LÄN</t>
        </is>
      </c>
      <c r="G488" t="inlineStr">
        <is>
          <t>GISLAVED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45077</v>
      </c>
      <c r="E489" s="1" t="n">
        <v>46306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62267-2022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44923</v>
      </c>
      <c r="E490" s="1" t="n">
        <v>46306</v>
      </c>
      <c r="F490" t="inlineStr">
        <is>
          <t>JÖNKÖPINGS LÄN</t>
        </is>
      </c>
      <c r="G490" t="inlineStr">
        <is>
          <t>GISLAVED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44739</v>
      </c>
      <c r="E491" s="1" t="n">
        <v>46306</v>
      </c>
      <c r="F491" t="inlineStr">
        <is>
          <t>JÖNKÖPINGS LÄN</t>
        </is>
      </c>
      <c r="G491" t="inlineStr">
        <is>
          <t>GISLAVED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44757</v>
      </c>
      <c r="E492" s="1" t="n">
        <v>46306</v>
      </c>
      <c r="F492" t="inlineStr">
        <is>
          <t>JÖNKÖPINGS LÄN</t>
        </is>
      </c>
      <c r="G492" t="inlineStr">
        <is>
          <t>GISLAVED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44958</v>
      </c>
      <c r="E493" s="1" t="n">
        <v>46306</v>
      </c>
      <c r="F493" t="inlineStr">
        <is>
          <t>JÖNKÖPINGS LÄN</t>
        </is>
      </c>
      <c r="G493" t="inlineStr">
        <is>
          <t>GISLAVED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60653-2021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44496</v>
      </c>
      <c r="E494" s="1" t="n">
        <v>46306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59747-2022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44908</v>
      </c>
      <c r="E495" s="1" t="n">
        <v>46306</v>
      </c>
      <c r="F495" t="inlineStr">
        <is>
          <t>JÖNKÖPINGS LÄN</t>
        </is>
      </c>
      <c r="G495" t="inlineStr">
        <is>
          <t>GISLAVED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46306</v>
      </c>
      <c r="F496" t="inlineStr">
        <is>
          <t>JÖNKÖPINGS LÄN</t>
        </is>
      </c>
      <c r="G496" t="inlineStr">
        <is>
          <t>GISLAVED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45189</v>
      </c>
      <c r="E497" s="1" t="n">
        <v>46306</v>
      </c>
      <c r="F497" t="inlineStr">
        <is>
          <t>JÖNKÖPINGS LÄN</t>
        </is>
      </c>
      <c r="G497" t="inlineStr">
        <is>
          <t>GISLAVED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45395</v>
      </c>
      <c r="E498" s="1" t="n">
        <v>46306</v>
      </c>
      <c r="F498" t="inlineStr">
        <is>
          <t>JÖNKÖPINGS LÄN</t>
        </is>
      </c>
      <c r="G498" t="inlineStr">
        <is>
          <t>GISLAVED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45395</v>
      </c>
      <c r="E499" s="1" t="n">
        <v>46306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45873</v>
      </c>
      <c r="E500" s="1" t="n">
        <v>46306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46306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37811-2022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44810</v>
      </c>
      <c r="E502" s="1" t="n">
        <v>46306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44712</v>
      </c>
      <c r="E503" s="1" t="n">
        <v>46306</v>
      </c>
      <c r="F503" t="inlineStr">
        <is>
          <t>JÖNKÖPINGS LÄN</t>
        </is>
      </c>
      <c r="G503" t="inlineStr">
        <is>
          <t>GISLAVED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44712</v>
      </c>
      <c r="E504" s="1" t="n">
        <v>46306</v>
      </c>
      <c r="F504" t="inlineStr">
        <is>
          <t>JÖNKÖPINGS LÄN</t>
        </is>
      </c>
      <c r="G504" t="inlineStr">
        <is>
          <t>GISLAVED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22176-2022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44712</v>
      </c>
      <c r="E505" s="1" t="n">
        <v>46306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39335-2022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44817</v>
      </c>
      <c r="E506" s="1" t="n">
        <v>46306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45730</v>
      </c>
      <c r="E507" s="1" t="n">
        <v>46306</v>
      </c>
      <c r="F507" t="inlineStr">
        <is>
          <t>JÖNKÖPINGS LÄN</t>
        </is>
      </c>
      <c r="G507" t="inlineStr">
        <is>
          <t>GISLAVED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22111-2022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46306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46306</v>
      </c>
      <c r="F509" t="inlineStr">
        <is>
          <t>JÖNKÖPINGS LÄN</t>
        </is>
      </c>
      <c r="G509" t="inlineStr">
        <is>
          <t>GISLAVED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44958</v>
      </c>
      <c r="E510" s="1" t="n">
        <v>46306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45665</v>
      </c>
      <c r="E511" s="1" t="n">
        <v>46306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44812</v>
      </c>
      <c r="E512" s="1" t="n">
        <v>46306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46306</v>
      </c>
      <c r="F513" t="inlineStr">
        <is>
          <t>JÖNKÖPINGS LÄN</t>
        </is>
      </c>
      <c r="G513" t="inlineStr">
        <is>
          <t>GISLAVED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45876</v>
      </c>
      <c r="E514" s="1" t="n">
        <v>46306</v>
      </c>
      <c r="F514" t="inlineStr">
        <is>
          <t>JÖNKÖPINGS LÄN</t>
        </is>
      </c>
      <c r="G514" t="inlineStr">
        <is>
          <t>GISLAVED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45716</v>
      </c>
      <c r="E515" s="1" t="n">
        <v>46306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45876</v>
      </c>
      <c r="E516" s="1" t="n">
        <v>46306</v>
      </c>
      <c r="F516" t="inlineStr">
        <is>
          <t>JÖNKÖPINGS LÄN</t>
        </is>
      </c>
      <c r="G516" t="inlineStr">
        <is>
          <t>GISLAVED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45125</v>
      </c>
      <c r="E517" s="1" t="n">
        <v>46306</v>
      </c>
      <c r="F517" t="inlineStr">
        <is>
          <t>JÖNKÖPINGS LÄN</t>
        </is>
      </c>
      <c r="G517" t="inlineStr">
        <is>
          <t>GISLAVED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46306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46306</v>
      </c>
      <c r="F519" t="inlineStr">
        <is>
          <t>JÖNKÖPINGS LÄN</t>
        </is>
      </c>
      <c r="G519" t="inlineStr">
        <is>
          <t>GISLAVED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37732-2025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46306</v>
      </c>
      <c r="F520" t="inlineStr">
        <is>
          <t>JÖNKÖPINGS LÄN</t>
        </is>
      </c>
      <c r="G520" t="inlineStr">
        <is>
          <t>GISLAVED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46306</v>
      </c>
      <c r="F521" t="inlineStr">
        <is>
          <t>JÖNKÖPINGS LÄN</t>
        </is>
      </c>
      <c r="G521" t="inlineStr">
        <is>
          <t>GISLAVED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45880</v>
      </c>
      <c r="E522" s="1" t="n">
        <v>46306</v>
      </c>
      <c r="F522" t="inlineStr">
        <is>
          <t>JÖNKÖPINGS LÄN</t>
        </is>
      </c>
      <c r="G522" t="inlineStr">
        <is>
          <t>GISLAVED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46306</v>
      </c>
      <c r="F523" t="inlineStr">
        <is>
          <t>JÖNKÖPINGS LÄN</t>
        </is>
      </c>
      <c r="G523" t="inlineStr">
        <is>
          <t>GISLAVED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46306</v>
      </c>
      <c r="F524" t="inlineStr">
        <is>
          <t>JÖNKÖPINGS LÄN</t>
        </is>
      </c>
      <c r="G524" t="inlineStr">
        <is>
          <t>GISLAVED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38170-2025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46306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46306</v>
      </c>
      <c r="F526" t="inlineStr">
        <is>
          <t>JÖNKÖPINGS LÄN</t>
        </is>
      </c>
      <c r="G526" t="inlineStr">
        <is>
          <t>GISLAVED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46306</v>
      </c>
      <c r="F527" t="inlineStr">
        <is>
          <t>JÖNKÖPINGS LÄN</t>
        </is>
      </c>
      <c r="G527" t="inlineStr">
        <is>
          <t>GISLAVED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45882</v>
      </c>
      <c r="E528" s="1" t="n">
        <v>46306</v>
      </c>
      <c r="F528" t="inlineStr">
        <is>
          <t>JÖNKÖPINGS LÄN</t>
        </is>
      </c>
      <c r="G528" t="inlineStr">
        <is>
          <t>GISLAVED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46306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45982</v>
      </c>
      <c r="E530" s="1" t="n">
        <v>46306</v>
      </c>
      <c r="F530" t="inlineStr">
        <is>
          <t>JÖNKÖPINGS LÄN</t>
        </is>
      </c>
      <c r="G530" t="inlineStr">
        <is>
          <t>GISLAVED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46306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46098</v>
      </c>
      <c r="E532" s="1" t="n">
        <v>46306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45509</v>
      </c>
      <c r="E533" s="1" t="n">
        <v>46306</v>
      </c>
      <c r="F533" t="inlineStr">
        <is>
          <t>JÖNKÖPINGS LÄN</t>
        </is>
      </c>
      <c r="G533" t="inlineStr">
        <is>
          <t>GISLAVED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44559-2022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44840</v>
      </c>
      <c r="E534" s="1" t="n">
        <v>46306</v>
      </c>
      <c r="F534" t="inlineStr">
        <is>
          <t>JÖNKÖPINGS LÄN</t>
        </is>
      </c>
      <c r="G534" t="inlineStr">
        <is>
          <t>GISLAVED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46306</v>
      </c>
      <c r="F535" t="inlineStr">
        <is>
          <t>JÖNKÖPINGS LÄN</t>
        </is>
      </c>
      <c r="G535" t="inlineStr">
        <is>
          <t>GISLAVED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46306</v>
      </c>
      <c r="F536" t="inlineStr">
        <is>
          <t>JÖNKÖPINGS LÄN</t>
        </is>
      </c>
      <c r="G536" t="inlineStr">
        <is>
          <t>GISLAVED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46306</v>
      </c>
      <c r="F537" t="inlineStr">
        <is>
          <t>JÖNKÖPINGS LÄN</t>
        </is>
      </c>
      <c r="G537" t="inlineStr">
        <is>
          <t>GISLAVED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46306</v>
      </c>
      <c r="F538" t="inlineStr">
        <is>
          <t>JÖNKÖPINGS LÄN</t>
        </is>
      </c>
      <c r="G538" t="inlineStr">
        <is>
          <t>GISLAVED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55486-2023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45231</v>
      </c>
      <c r="E539" s="1" t="n">
        <v>46306</v>
      </c>
      <c r="F539" t="inlineStr">
        <is>
          <t>JÖNKÖPINGS LÄN</t>
        </is>
      </c>
      <c r="G539" t="inlineStr">
        <is>
          <t>GISLAVED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46306</v>
      </c>
      <c r="F540" t="inlineStr">
        <is>
          <t>JÖNKÖPINGS LÄN</t>
        </is>
      </c>
      <c r="G540" t="inlineStr">
        <is>
          <t>GISLAVED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58284-2025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46306</v>
      </c>
      <c r="F541" t="inlineStr">
        <is>
          <t>JÖNKÖPINGS LÄN</t>
        </is>
      </c>
      <c r="G541" t="inlineStr">
        <is>
          <t>GISLAVED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58286-2025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46306</v>
      </c>
      <c r="F542" t="inlineStr">
        <is>
          <t>JÖNKÖPINGS LÄN</t>
        </is>
      </c>
      <c r="G542" t="inlineStr">
        <is>
          <t>GISLAVED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46306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46306</v>
      </c>
      <c r="F544" t="inlineStr">
        <is>
          <t>JÖNKÖPINGS LÄN</t>
        </is>
      </c>
      <c r="G544" t="inlineStr">
        <is>
          <t>GISLAVED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46306</v>
      </c>
      <c r="F545" t="inlineStr">
        <is>
          <t>JÖNKÖPINGS LÄN</t>
        </is>
      </c>
      <c r="G545" t="inlineStr">
        <is>
          <t>GISLAVED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15368-2026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46306</v>
      </c>
      <c r="F546" t="inlineStr">
        <is>
          <t>JÖNKÖPINGS LÄN</t>
        </is>
      </c>
      <c r="G546" t="inlineStr">
        <is>
          <t>GISLAVED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46306</v>
      </c>
      <c r="F547" t="inlineStr">
        <is>
          <t>JÖNKÖPINGS LÄN</t>
        </is>
      </c>
      <c r="G547" t="inlineStr">
        <is>
          <t>GISLAVED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15906-2026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46306</v>
      </c>
      <c r="F548" t="inlineStr">
        <is>
          <t>JÖNKÖPINGS LÄN</t>
        </is>
      </c>
      <c r="G548" t="inlineStr">
        <is>
          <t>GISLAVED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45534</v>
      </c>
      <c r="E549" s="1" t="n">
        <v>46306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36359-2024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45534</v>
      </c>
      <c r="E550" s="1" t="n">
        <v>46306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46306</v>
      </c>
      <c r="F551" t="inlineStr">
        <is>
          <t>JÖNKÖPINGS LÄN</t>
        </is>
      </c>
      <c r="G551" t="inlineStr">
        <is>
          <t>GISLAVED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46111</v>
      </c>
      <c r="E552" s="1" t="n">
        <v>46306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61310-2023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46306</v>
      </c>
      <c r="F553" t="inlineStr">
        <is>
          <t>JÖNKÖPINGS LÄN</t>
        </is>
      </c>
      <c r="G553" t="inlineStr">
        <is>
          <t>GISLAVED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59451-2025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46306</v>
      </c>
      <c r="F554" t="inlineStr">
        <is>
          <t>JÖNKÖPINGS LÄN</t>
        </is>
      </c>
      <c r="G554" t="inlineStr">
        <is>
          <t>GISLAVED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46306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46306</v>
      </c>
      <c r="F556" t="inlineStr">
        <is>
          <t>JÖNKÖPINGS LÄN</t>
        </is>
      </c>
      <c r="G556" t="inlineStr">
        <is>
          <t>GISLAVED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18570-2024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45425</v>
      </c>
      <c r="E557" s="1" t="n">
        <v>46306</v>
      </c>
      <c r="F557" t="inlineStr">
        <is>
          <t>JÖNKÖPINGS LÄN</t>
        </is>
      </c>
      <c r="G557" t="inlineStr">
        <is>
          <t>GISLAVED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61916-2021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44501</v>
      </c>
      <c r="E558" s="1" t="n">
        <v>46306</v>
      </c>
      <c r="F558" t="inlineStr">
        <is>
          <t>JÖNKÖPINGS LÄN</t>
        </is>
      </c>
      <c r="G558" t="inlineStr">
        <is>
          <t>GISLAVED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61922-2021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46306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4279-2022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44588</v>
      </c>
      <c r="E560" s="1" t="n">
        <v>46306</v>
      </c>
      <c r="F560" t="inlineStr">
        <is>
          <t>JÖNKÖPINGS LÄN</t>
        </is>
      </c>
      <c r="G560" t="inlineStr">
        <is>
          <t>GISLAVED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46306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44952</v>
      </c>
      <c r="E562" s="1" t="n">
        <v>46306</v>
      </c>
      <c r="F562" t="inlineStr">
        <is>
          <t>JÖNKÖPINGS LÄN</t>
        </is>
      </c>
      <c r="G562" t="inlineStr">
        <is>
          <t>GISLAVED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46306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46306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64812-2023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45282</v>
      </c>
      <c r="E565" s="1" t="n">
        <v>46306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36460-2022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44803</v>
      </c>
      <c r="E566" s="1" t="n">
        <v>46306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61351-2022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44915</v>
      </c>
      <c r="E567" s="1" t="n">
        <v>46306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44502</v>
      </c>
      <c r="E568" s="1" t="n">
        <v>46306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44977</v>
      </c>
      <c r="E569" s="1" t="n">
        <v>46306</v>
      </c>
      <c r="F569" t="inlineStr">
        <is>
          <t>JÖNKÖPINGS LÄN</t>
        </is>
      </c>
      <c r="G569" t="inlineStr">
        <is>
          <t>GISLAVED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46306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46306</v>
      </c>
      <c r="F571" t="inlineStr">
        <is>
          <t>JÖNKÖPINGS LÄN</t>
        </is>
      </c>
      <c r="G571" t="inlineStr">
        <is>
          <t>GISLAVED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28318-2025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45818</v>
      </c>
      <c r="E572" s="1" t="n">
        <v>46306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45161</v>
      </c>
      <c r="E573" s="1" t="n">
        <v>46306</v>
      </c>
      <c r="F573" t="inlineStr">
        <is>
          <t>JÖNKÖPINGS LÄN</t>
        </is>
      </c>
      <c r="G573" t="inlineStr">
        <is>
          <t>GISLAVED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45159</v>
      </c>
      <c r="E574" s="1" t="n">
        <v>46306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48399-2024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46306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63049-2025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46306</v>
      </c>
      <c r="F576" t="inlineStr">
        <is>
          <t>JÖNKÖPINGS LÄN</t>
        </is>
      </c>
      <c r="G576" t="inlineStr">
        <is>
          <t>GISLAVED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45350</v>
      </c>
      <c r="E577" s="1" t="n">
        <v>46306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62942-2025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46306</v>
      </c>
      <c r="F578" t="inlineStr">
        <is>
          <t>JÖNKÖPINGS LÄN</t>
        </is>
      </c>
      <c r="G578" t="inlineStr">
        <is>
          <t>GISLAVED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45511</v>
      </c>
      <c r="E579" s="1" t="n">
        <v>46306</v>
      </c>
      <c r="F579" t="inlineStr">
        <is>
          <t>JÖNKÖPINGS LÄN</t>
        </is>
      </c>
      <c r="G579" t="inlineStr">
        <is>
          <t>GISLAVED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46306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46009</v>
      </c>
      <c r="E581" s="1" t="n">
        <v>46306</v>
      </c>
      <c r="F581" t="inlineStr">
        <is>
          <t>JÖNKÖPINGS LÄN</t>
        </is>
      </c>
      <c r="G581" t="inlineStr">
        <is>
          <t>GISLAVED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46009</v>
      </c>
      <c r="E582" s="1" t="n">
        <v>46306</v>
      </c>
      <c r="F582" t="inlineStr">
        <is>
          <t>JÖNKÖPINGS LÄN</t>
        </is>
      </c>
      <c r="G582" t="inlineStr">
        <is>
          <t>GISLAVED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63069-2025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46009</v>
      </c>
      <c r="E583" s="1" t="n">
        <v>46306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46009</v>
      </c>
      <c r="E584" s="1" t="n">
        <v>46306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63014-2025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46009</v>
      </c>
      <c r="E585" s="1" t="n">
        <v>46306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46306</v>
      </c>
      <c r="F586" t="inlineStr">
        <is>
          <t>JÖNKÖPINGS LÄN</t>
        </is>
      </c>
      <c r="G586" t="inlineStr">
        <is>
          <t>GISLAVED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46009</v>
      </c>
      <c r="E587" s="1" t="n">
        <v>46306</v>
      </c>
      <c r="F587" t="inlineStr">
        <is>
          <t>JÖNKÖPINGS LÄN</t>
        </is>
      </c>
      <c r="G587" t="inlineStr">
        <is>
          <t>GISLAVED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46306</v>
      </c>
      <c r="F588" t="inlineStr">
        <is>
          <t>JÖNKÖPINGS LÄN</t>
        </is>
      </c>
      <c r="G588" t="inlineStr">
        <is>
          <t>GISLAVED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43055-2023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45182</v>
      </c>
      <c r="E589" s="1" t="n">
        <v>46306</v>
      </c>
      <c r="F589" t="inlineStr">
        <is>
          <t>JÖNKÖPINGS LÄN</t>
        </is>
      </c>
      <c r="G589" t="inlineStr">
        <is>
          <t>GISLAVED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10125-2024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45364</v>
      </c>
      <c r="E590" s="1" t="n">
        <v>46306</v>
      </c>
      <c r="F590" t="inlineStr">
        <is>
          <t>JÖNKÖPINGS LÄN</t>
        </is>
      </c>
      <c r="G590" t="inlineStr">
        <is>
          <t>GISLAVED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49434-2024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46306</v>
      </c>
      <c r="F591" t="inlineStr">
        <is>
          <t>JÖNKÖPINGS LÄN</t>
        </is>
      </c>
      <c r="G591" t="inlineStr">
        <is>
          <t>GISLAVED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46306</v>
      </c>
      <c r="F592" t="inlineStr">
        <is>
          <t>JÖNKÖPINGS LÄN</t>
        </is>
      </c>
      <c r="G592" t="inlineStr">
        <is>
          <t>GISLAVED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45258</v>
      </c>
      <c r="E593" s="1" t="n">
        <v>46306</v>
      </c>
      <c r="F593" t="inlineStr">
        <is>
          <t>JÖNKÖPINGS LÄN</t>
        </is>
      </c>
      <c r="G593" t="inlineStr">
        <is>
          <t>GISLAVED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25112-2024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45462</v>
      </c>
      <c r="E594" s="1" t="n">
        <v>46306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58531-2021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44488</v>
      </c>
      <c r="E595" s="1" t="n">
        <v>46306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44662</v>
      </c>
      <c r="E596" s="1" t="n">
        <v>46306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46306</v>
      </c>
      <c r="F597" t="inlineStr">
        <is>
          <t>JÖNKÖPINGS LÄN</t>
        </is>
      </c>
      <c r="G597" t="inlineStr">
        <is>
          <t>GISLAVED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45009</v>
      </c>
      <c r="E598" s="1" t="n">
        <v>46306</v>
      </c>
      <c r="F598" t="inlineStr">
        <is>
          <t>JÖNKÖPINGS LÄN</t>
        </is>
      </c>
      <c r="G598" t="inlineStr">
        <is>
          <t>GISLAVED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45097</v>
      </c>
      <c r="E599" s="1" t="n">
        <v>46306</v>
      </c>
      <c r="F599" t="inlineStr">
        <is>
          <t>JÖNKÖPINGS LÄN</t>
        </is>
      </c>
      <c r="G599" t="inlineStr">
        <is>
          <t>GISLAVED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45818</v>
      </c>
      <c r="E600" s="1" t="n">
        <v>46306</v>
      </c>
      <c r="F600" t="inlineStr">
        <is>
          <t>JÖNKÖPINGS LÄN</t>
        </is>
      </c>
      <c r="G600" t="inlineStr">
        <is>
          <t>GISLAVED</t>
        </is>
      </c>
      <c r="H600" t="inlineStr">
        <is>
          <t>Kommuner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46306</v>
      </c>
      <c r="F601" t="inlineStr">
        <is>
          <t>JÖNKÖPINGS LÄN</t>
        </is>
      </c>
      <c r="G601" t="inlineStr">
        <is>
          <t>GISLAVED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45345</v>
      </c>
      <c r="E602" s="1" t="n">
        <v>46306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46306</v>
      </c>
      <c r="F603" t="inlineStr">
        <is>
          <t>JÖNKÖPINGS LÄN</t>
        </is>
      </c>
      <c r="G603" t="inlineStr">
        <is>
          <t>GISLAVED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46306</v>
      </c>
      <c r="F604" t="inlineStr">
        <is>
          <t>JÖNKÖPINGS LÄN</t>
        </is>
      </c>
      <c r="G604" t="inlineStr">
        <is>
          <t>GISLAVED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45937</v>
      </c>
      <c r="E605" s="1" t="n">
        <v>46306</v>
      </c>
      <c r="F605" t="inlineStr">
        <is>
          <t>JÖNKÖPINGS LÄN</t>
        </is>
      </c>
      <c r="G605" t="inlineStr">
        <is>
          <t>GISLAVED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47215-2025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45930</v>
      </c>
      <c r="E606" s="1" t="n">
        <v>46306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2194-2026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46036</v>
      </c>
      <c r="E607" s="1" t="n">
        <v>46306</v>
      </c>
      <c r="F607" t="inlineStr">
        <is>
          <t>JÖNKÖPINGS LÄN</t>
        </is>
      </c>
      <c r="G607" t="inlineStr">
        <is>
          <t>GISLAVED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45008</v>
      </c>
      <c r="E608" s="1" t="n">
        <v>46306</v>
      </c>
      <c r="F608" t="inlineStr">
        <is>
          <t>JÖNKÖPINGS LÄN</t>
        </is>
      </c>
      <c r="G608" t="inlineStr">
        <is>
          <t>GISLAVED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45174</v>
      </c>
      <c r="E609" s="1" t="n">
        <v>46306</v>
      </c>
      <c r="F609" t="inlineStr">
        <is>
          <t>JÖNKÖPINGS LÄN</t>
        </is>
      </c>
      <c r="G609" t="inlineStr">
        <is>
          <t>GISLAVED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9911-2025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45717</v>
      </c>
      <c r="E610" s="1" t="n">
        <v>46306</v>
      </c>
      <c r="F610" t="inlineStr">
        <is>
          <t>JÖNKÖPINGS LÄN</t>
        </is>
      </c>
      <c r="G610" t="inlineStr">
        <is>
          <t>GISLAVED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46041</v>
      </c>
      <c r="E611" s="1" t="n">
        <v>46306</v>
      </c>
      <c r="F611" t="inlineStr">
        <is>
          <t>JÖNKÖPINGS LÄN</t>
        </is>
      </c>
      <c r="G611" t="inlineStr">
        <is>
          <t>GISLAVED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46306</v>
      </c>
      <c r="F612" t="inlineStr">
        <is>
          <t>JÖNKÖPINGS LÄN</t>
        </is>
      </c>
      <c r="G612" t="inlineStr">
        <is>
          <t>GISLAVED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46041</v>
      </c>
      <c r="E613" s="1" t="n">
        <v>46306</v>
      </c>
      <c r="F613" t="inlineStr">
        <is>
          <t>JÖNKÖPINGS LÄN</t>
        </is>
      </c>
      <c r="G613" t="inlineStr">
        <is>
          <t>GISLAVED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46306</v>
      </c>
      <c r="F614" t="inlineStr">
        <is>
          <t>JÖNKÖPINGS LÄN</t>
        </is>
      </c>
      <c r="G614" t="inlineStr">
        <is>
          <t>GISLAVED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46306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45880</v>
      </c>
      <c r="E616" s="1" t="n">
        <v>46306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21756-2025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45783</v>
      </c>
      <c r="E617" s="1" t="n">
        <v>46306</v>
      </c>
      <c r="F617" t="inlineStr">
        <is>
          <t>JÖNKÖPINGS LÄN</t>
        </is>
      </c>
      <c r="G617" t="inlineStr">
        <is>
          <t>GISLAVED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45009</v>
      </c>
      <c r="E618" s="1" t="n">
        <v>46306</v>
      </c>
      <c r="F618" t="inlineStr">
        <is>
          <t>JÖNKÖPINGS LÄN</t>
        </is>
      </c>
      <c r="G618" t="inlineStr">
        <is>
          <t>GISLAVED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45852</v>
      </c>
      <c r="E619" s="1" t="n">
        <v>46306</v>
      </c>
      <c r="F619" t="inlineStr">
        <is>
          <t>JÖNKÖPINGS LÄN</t>
        </is>
      </c>
      <c r="G619" t="inlineStr">
        <is>
          <t>GISLAVED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46306</v>
      </c>
      <c r="F620" t="inlineStr">
        <is>
          <t>JÖNKÖPINGS LÄN</t>
        </is>
      </c>
      <c r="G620" t="inlineStr">
        <is>
          <t>GISLAVED</t>
        </is>
      </c>
      <c r="H620" t="inlineStr">
        <is>
          <t>Kyrkan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28746-2022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44749</v>
      </c>
      <c r="E621" s="1" t="n">
        <v>46306</v>
      </c>
      <c r="F621" t="inlineStr">
        <is>
          <t>JÖNKÖPINGS LÄN</t>
        </is>
      </c>
      <c r="G621" t="inlineStr">
        <is>
          <t>GISLAVED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3279-2023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44949</v>
      </c>
      <c r="E622" s="1" t="n">
        <v>46306</v>
      </c>
      <c r="F622" t="inlineStr">
        <is>
          <t>JÖNKÖPINGS LÄN</t>
        </is>
      </c>
      <c r="G622" t="inlineStr">
        <is>
          <t>GISLAVED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45642</v>
      </c>
      <c r="E623" s="1" t="n">
        <v>46306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53749-2022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44880</v>
      </c>
      <c r="E624" s="1" t="n">
        <v>46306</v>
      </c>
      <c r="F624" t="inlineStr">
        <is>
          <t>JÖNKÖPINGS LÄN</t>
        </is>
      </c>
      <c r="G624" t="inlineStr">
        <is>
          <t>GISLAVED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46049</v>
      </c>
      <c r="E625" s="1" t="n">
        <v>46306</v>
      </c>
      <c r="F625" t="inlineStr">
        <is>
          <t>JÖNKÖPINGS LÄN</t>
        </is>
      </c>
      <c r="G625" t="inlineStr">
        <is>
          <t>GISLAVED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46306</v>
      </c>
      <c r="F626" t="inlineStr">
        <is>
          <t>JÖNKÖPINGS LÄN</t>
        </is>
      </c>
      <c r="G626" t="inlineStr">
        <is>
          <t>GISLAVED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46306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46306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9071-2022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44615</v>
      </c>
      <c r="E629" s="1" t="n">
        <v>46306</v>
      </c>
      <c r="F629" t="inlineStr">
        <is>
          <t>JÖNKÖPINGS LÄN</t>
        </is>
      </c>
      <c r="G629" t="inlineStr">
        <is>
          <t>GISLAVED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45882</v>
      </c>
      <c r="E630" s="1" t="n">
        <v>46306</v>
      </c>
      <c r="F630" t="inlineStr">
        <is>
          <t>JÖNKÖPINGS LÄN</t>
        </is>
      </c>
      <c r="G630" t="inlineStr">
        <is>
          <t>GISLAVED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45213-2023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45191</v>
      </c>
      <c r="E631" s="1" t="n">
        <v>46306</v>
      </c>
      <c r="F631" t="inlineStr">
        <is>
          <t>JÖNKÖPINGS LÄN</t>
        </is>
      </c>
      <c r="G631" t="inlineStr">
        <is>
          <t>GISLAVED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46306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8939-2026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46306</v>
      </c>
      <c r="F633" t="inlineStr">
        <is>
          <t>JÖNKÖPINGS LÄN</t>
        </is>
      </c>
      <c r="G633" t="inlineStr">
        <is>
          <t>GISLAVED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46306</v>
      </c>
      <c r="F634" t="inlineStr">
        <is>
          <t>JÖNKÖPINGS LÄN</t>
        </is>
      </c>
      <c r="G634" t="inlineStr">
        <is>
          <t>GISLAVED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46153</v>
      </c>
      <c r="E635" s="1" t="n">
        <v>46306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22162-2026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46153</v>
      </c>
      <c r="E636" s="1" t="n">
        <v>46306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46306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46306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11091-2026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46306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46079</v>
      </c>
      <c r="E640" s="1" t="n">
        <v>46306</v>
      </c>
      <c r="F640" t="inlineStr">
        <is>
          <t>JÖNKÖPINGS LÄN</t>
        </is>
      </c>
      <c r="G640" t="inlineStr">
        <is>
          <t>GISLAVED</t>
        </is>
      </c>
      <c r="H640" t="inlineStr">
        <is>
          <t>Kyrkan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46306</v>
      </c>
      <c r="F641" t="inlineStr">
        <is>
          <t>JÖNKÖPINGS LÄN</t>
        </is>
      </c>
      <c r="G641" t="inlineStr">
        <is>
          <t>GISLAVED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46306</v>
      </c>
      <c r="F642" t="inlineStr">
        <is>
          <t>JÖNKÖPINGS LÄN</t>
        </is>
      </c>
      <c r="G642" t="inlineStr">
        <is>
          <t>GISLAVED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11491-2026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46306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46306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46156</v>
      </c>
      <c r="E645" s="1" t="n">
        <v>46306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46156</v>
      </c>
      <c r="E646" s="1" t="n">
        <v>46306</v>
      </c>
      <c r="F646" t="inlineStr">
        <is>
          <t>JÖNKÖPINGS LÄN</t>
        </is>
      </c>
      <c r="G646" t="inlineStr">
        <is>
          <t>GISLAVED</t>
        </is>
      </c>
      <c r="H646" t="inlineStr">
        <is>
          <t>Sveaskog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3072-2025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45678</v>
      </c>
      <c r="E647" s="1" t="n">
        <v>46306</v>
      </c>
      <c r="F647" t="inlineStr">
        <is>
          <t>JÖNKÖPINGS LÄN</t>
        </is>
      </c>
      <c r="G647" t="inlineStr">
        <is>
          <t>GISLAVED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46306</v>
      </c>
      <c r="F648" t="inlineStr">
        <is>
          <t>JÖNKÖPINGS LÄN</t>
        </is>
      </c>
      <c r="G648" t="inlineStr">
        <is>
          <t>GISLAVED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22701-2026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46156</v>
      </c>
      <c r="E649" s="1" t="n">
        <v>46306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46306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46306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46306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46306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46306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45564-2025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45922</v>
      </c>
      <c r="E655" s="1" t="n">
        <v>46306</v>
      </c>
      <c r="F655" t="inlineStr">
        <is>
          <t>JÖNKÖPINGS LÄN</t>
        </is>
      </c>
      <c r="G655" t="inlineStr">
        <is>
          <t>GISLAVED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46306</v>
      </c>
      <c r="F656" t="inlineStr">
        <is>
          <t>JÖNKÖPINGS LÄN</t>
        </is>
      </c>
      <c r="G656" t="inlineStr">
        <is>
          <t>GISLAVED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24471-2026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46306</v>
      </c>
      <c r="F657" t="inlineStr">
        <is>
          <t>JÖNKÖPINGS LÄN</t>
        </is>
      </c>
      <c r="G657" t="inlineStr">
        <is>
          <t>GISLAVED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37042-2025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46306</v>
      </c>
      <c r="F658" t="inlineStr">
        <is>
          <t>JÖNKÖPINGS LÄN</t>
        </is>
      </c>
      <c r="G658" t="inlineStr">
        <is>
          <t>GISLAVED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46306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46306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24984-2026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46174</v>
      </c>
      <c r="E661" s="1" t="n">
        <v>46306</v>
      </c>
      <c r="F661" t="inlineStr">
        <is>
          <t>JÖNKÖPINGS LÄN</t>
        </is>
      </c>
      <c r="G661" t="inlineStr">
        <is>
          <t>GISLAVED</t>
        </is>
      </c>
      <c r="H661" t="inlineStr">
        <is>
          <t>Sveaskog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46306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26292-2026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46306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46306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46306</v>
      </c>
      <c r="F665" t="inlineStr">
        <is>
          <t>JÖNKÖPINGS LÄN</t>
        </is>
      </c>
      <c r="G665" t="inlineStr">
        <is>
          <t>GISLAVED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46306</v>
      </c>
      <c r="F666" t="inlineStr">
        <is>
          <t>JÖNKÖPINGS LÄN</t>
        </is>
      </c>
      <c r="G666" t="inlineStr">
        <is>
          <t>GISLAVED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26285-2026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46306</v>
      </c>
      <c r="F667" t="inlineStr">
        <is>
          <t>JÖNKÖPINGS LÄN</t>
        </is>
      </c>
      <c r="G667" t="inlineStr">
        <is>
          <t>GISLAVED</t>
        </is>
      </c>
      <c r="H667" t="inlineStr">
        <is>
          <t>Kyrkan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46306</v>
      </c>
      <c r="F668" t="inlineStr">
        <is>
          <t>JÖNKÖPINGS LÄN</t>
        </is>
      </c>
      <c r="G668" t="inlineStr">
        <is>
          <t>GISLAVED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11516-2025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46306</v>
      </c>
      <c r="F669" t="inlineStr">
        <is>
          <t>JÖNKÖPINGS LÄN</t>
        </is>
      </c>
      <c r="G669" t="inlineStr">
        <is>
          <t>GISLAVED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46306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11517-2025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45726</v>
      </c>
      <c r="E671" s="1" t="n">
        <v>46306</v>
      </c>
      <c r="F671" t="inlineStr">
        <is>
          <t>JÖNKÖPINGS LÄN</t>
        </is>
      </c>
      <c r="G671" t="inlineStr">
        <is>
          <t>GISLAVED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27658-2026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46190</v>
      </c>
      <c r="E672" s="1" t="n">
        <v>46306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46306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46306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46306</v>
      </c>
      <c r="F675" t="inlineStr">
        <is>
          <t>JÖNKÖPINGS LÄN</t>
        </is>
      </c>
      <c r="G675" t="inlineStr">
        <is>
          <t>GISLAVED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46306</v>
      </c>
      <c r="F676" t="inlineStr">
        <is>
          <t>JÖNKÖPINGS LÄN</t>
        </is>
      </c>
      <c r="G676" t="inlineStr">
        <is>
          <t>GISLAVED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46306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28081-2026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46306</v>
      </c>
      <c r="F678" t="inlineStr">
        <is>
          <t>JÖNKÖPINGS LÄN</t>
        </is>
      </c>
      <c r="G678" t="inlineStr">
        <is>
          <t>GISLAVED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46193</v>
      </c>
      <c r="E679" s="1" t="n">
        <v>46306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46306</v>
      </c>
      <c r="F680" t="inlineStr">
        <is>
          <t>JÖNKÖPINGS LÄN</t>
        </is>
      </c>
      <c r="G680" t="inlineStr">
        <is>
          <t>GISLAVED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46306</v>
      </c>
      <c r="F681" t="inlineStr">
        <is>
          <t>JÖNKÖPINGS LÄN</t>
        </is>
      </c>
      <c r="G681" t="inlineStr">
        <is>
          <t>GISLAVED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46306</v>
      </c>
      <c r="F682" t="inlineStr">
        <is>
          <t>JÖNKÖPINGS LÄN</t>
        </is>
      </c>
      <c r="G682" t="inlineStr">
        <is>
          <t>GISLAVED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46306</v>
      </c>
      <c r="F683" t="inlineStr">
        <is>
          <t>JÖNKÖPINGS LÄN</t>
        </is>
      </c>
      <c r="G683" t="inlineStr">
        <is>
          <t>GISLAVED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46306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46306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46216</v>
      </c>
      <c r="E686" s="1" t="n">
        <v>46306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46266</v>
      </c>
      <c r="E687" s="1" t="n">
        <v>46306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46224</v>
      </c>
      <c r="E688" s="1" t="n">
        <v>46306</v>
      </c>
      <c r="F688" t="inlineStr">
        <is>
          <t>JÖNKÖPINGS LÄN</t>
        </is>
      </c>
      <c r="G688" t="inlineStr">
        <is>
          <t>GISLAVED</t>
        </is>
      </c>
      <c r="H688" t="inlineStr">
        <is>
          <t>Kyrkan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46267</v>
      </c>
      <c r="E689" s="1" t="n">
        <v>46306</v>
      </c>
      <c r="F689" t="inlineStr">
        <is>
          <t>JÖNKÖPINGS LÄN</t>
        </is>
      </c>
      <c r="G689" t="inlineStr">
        <is>
          <t>GISLAVED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46267</v>
      </c>
      <c r="E690" s="1" t="n">
        <v>46306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36822-2026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46272</v>
      </c>
      <c r="E691" s="1" t="n">
        <v>46306</v>
      </c>
      <c r="F691" t="inlineStr">
        <is>
          <t>JÖNKÖPINGS LÄN</t>
        </is>
      </c>
      <c r="G691" t="inlineStr">
        <is>
          <t>GISLAVED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37280-2026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46274</v>
      </c>
      <c r="E692" s="1" t="n">
        <v>46306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46230</v>
      </c>
      <c r="E693" s="1" t="n">
        <v>46306</v>
      </c>
      <c r="F693" t="inlineStr">
        <is>
          <t>JÖNKÖPINGS LÄN</t>
        </is>
      </c>
      <c r="G693" t="inlineStr">
        <is>
          <t>GISLAVED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46230</v>
      </c>
      <c r="E694" s="1" t="n">
        <v>46306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46306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46306</v>
      </c>
      <c r="F696" t="inlineStr">
        <is>
          <t>JÖNKÖPINGS LÄN</t>
        </is>
      </c>
      <c r="G696" t="inlineStr">
        <is>
          <t>GISLAVED</t>
        </is>
      </c>
      <c r="H696" t="inlineStr">
        <is>
          <t>Sveaskog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32054-2026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46233</v>
      </c>
      <c r="E697" s="1" t="n">
        <v>46306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31933-2026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46232</v>
      </c>
      <c r="E698" s="1" t="n">
        <v>46306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31936-2026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46232</v>
      </c>
      <c r="E699" s="1" t="n">
        <v>46306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46275</v>
      </c>
      <c r="E700" s="1" t="n">
        <v>46306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46232</v>
      </c>
      <c r="E701" s="1" t="n">
        <v>46306</v>
      </c>
      <c r="F701" t="inlineStr">
        <is>
          <t>JÖNKÖPINGS LÄN</t>
        </is>
      </c>
      <c r="G701" t="inlineStr">
        <is>
          <t>GISLAVED</t>
        </is>
      </c>
      <c r="I701" t="n">
        <v>8.699999999999999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32162-2026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46237</v>
      </c>
      <c r="E702" s="1" t="n">
        <v>46306</v>
      </c>
      <c r="F702" t="inlineStr">
        <is>
          <t>JÖNKÖPINGS LÄN</t>
        </is>
      </c>
      <c r="G702" t="inlineStr">
        <is>
          <t>GISLAVED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46237</v>
      </c>
      <c r="E703" s="1" t="n">
        <v>46306</v>
      </c>
      <c r="F703" t="inlineStr">
        <is>
          <t>JÖNKÖPINGS LÄN</t>
        </is>
      </c>
      <c r="G703" t="inlineStr">
        <is>
          <t>GISLAVED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32179-2026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46237</v>
      </c>
      <c r="E704" s="1" t="n">
        <v>46306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46237</v>
      </c>
      <c r="E705" s="1" t="n">
        <v>46306</v>
      </c>
      <c r="F705" t="inlineStr">
        <is>
          <t>JÖNKÖPINGS LÄN</t>
        </is>
      </c>
      <c r="G705" t="inlineStr">
        <is>
          <t>GISLAVED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32051-2026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46306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46306</v>
      </c>
      <c r="F707" t="inlineStr">
        <is>
          <t>JÖNKÖPINGS LÄN</t>
        </is>
      </c>
      <c r="G707" t="inlineStr">
        <is>
          <t>GISLAVED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46306</v>
      </c>
      <c r="F708" t="inlineStr">
        <is>
          <t>JÖNKÖPINGS LÄN</t>
        </is>
      </c>
      <c r="G708" t="inlineStr">
        <is>
          <t>GISLAVED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46306</v>
      </c>
      <c r="F709" t="inlineStr">
        <is>
          <t>JÖNKÖPINGS LÄN</t>
        </is>
      </c>
      <c r="G709" t="inlineStr">
        <is>
          <t>GISLAVED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32684-2026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46240</v>
      </c>
      <c r="E710" s="1" t="n">
        <v>46306</v>
      </c>
      <c r="F710" t="inlineStr">
        <is>
          <t>JÖNKÖPINGS LÄN</t>
        </is>
      </c>
      <c r="G710" t="inlineStr">
        <is>
          <t>GISLAVED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36330-2026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46268</v>
      </c>
      <c r="E711" s="1" t="n">
        <v>46306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39115-2026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46287</v>
      </c>
      <c r="E712" s="1" t="n">
        <v>46306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38982-2026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46286</v>
      </c>
      <c r="E713" s="1" t="n">
        <v>46306</v>
      </c>
      <c r="F713" t="inlineStr">
        <is>
          <t>JÖNKÖPINGS LÄN</t>
        </is>
      </c>
      <c r="G713" t="inlineStr">
        <is>
          <t>GISLAVED</t>
        </is>
      </c>
      <c r="I713" t="n">
        <v>8.199999999999999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46290</v>
      </c>
      <c r="E714" s="1" t="n">
        <v>46306</v>
      </c>
      <c r="F714" t="inlineStr">
        <is>
          <t>JÖNKÖPINGS LÄN</t>
        </is>
      </c>
      <c r="G714" t="inlineStr">
        <is>
          <t>GISLAVED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39811-2026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46290</v>
      </c>
      <c r="E715" s="1" t="n">
        <v>46306</v>
      </c>
      <c r="F715" t="inlineStr">
        <is>
          <t>JÖNKÖPINGS LÄN</t>
        </is>
      </c>
      <c r="G715" t="inlineStr">
        <is>
          <t>GISLAVED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39563-2026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46289</v>
      </c>
      <c r="E716" s="1" t="n">
        <v>46306</v>
      </c>
      <c r="F716" t="inlineStr">
        <is>
          <t>JÖNKÖPINGS LÄN</t>
        </is>
      </c>
      <c r="G716" t="inlineStr">
        <is>
          <t>GISLAVED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46250</v>
      </c>
      <c r="E717" s="1" t="n">
        <v>46306</v>
      </c>
      <c r="F717" t="inlineStr">
        <is>
          <t>JÖNKÖPINGS LÄN</t>
        </is>
      </c>
      <c r="G717" t="inlineStr">
        <is>
          <t>GISLAVED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33896-2026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46251</v>
      </c>
      <c r="E718" s="1" t="n">
        <v>46306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12743-2025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46306</v>
      </c>
      <c r="F719" t="inlineStr">
        <is>
          <t>JÖNKÖPINGS LÄN</t>
        </is>
      </c>
      <c r="G719" t="inlineStr">
        <is>
          <t>GISLAVED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13322-2025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46306</v>
      </c>
      <c r="F720" t="inlineStr">
        <is>
          <t>JÖNKÖPINGS LÄN</t>
        </is>
      </c>
      <c r="G720" t="inlineStr">
        <is>
          <t>GISLAVED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59187-2024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45637</v>
      </c>
      <c r="E721" s="1" t="n">
        <v>46306</v>
      </c>
      <c r="F721" t="inlineStr">
        <is>
          <t>JÖNKÖPINGS LÄN</t>
        </is>
      </c>
      <c r="G721" t="inlineStr">
        <is>
          <t>GISLAVED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46306</v>
      </c>
      <c r="F722" t="inlineStr">
        <is>
          <t>JÖNKÖPINGS LÄN</t>
        </is>
      </c>
      <c r="G722" t="inlineStr">
        <is>
          <t>GISLAVED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46300</v>
      </c>
      <c r="E723" s="1" t="n">
        <v>46306</v>
      </c>
      <c r="F723" t="inlineStr">
        <is>
          <t>JÖNKÖPINGS LÄN</t>
        </is>
      </c>
      <c r="G723" t="inlineStr">
        <is>
          <t>GISLAVED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34659-2026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46257</v>
      </c>
      <c r="E724" s="1" t="n">
        <v>46306</v>
      </c>
      <c r="F724" t="inlineStr">
        <is>
          <t>JÖNKÖPINGS LÄN</t>
        </is>
      </c>
      <c r="G724" t="inlineStr">
        <is>
          <t>GISLAVED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63071-2025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46009</v>
      </c>
      <c r="E725" s="1" t="n">
        <v>46306</v>
      </c>
      <c r="F725" t="inlineStr">
        <is>
          <t>JÖNKÖPINGS LÄN</t>
        </is>
      </c>
      <c r="G725" t="inlineStr">
        <is>
          <t>GISLAVED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30539-2025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46306</v>
      </c>
      <c r="F726" t="inlineStr">
        <is>
          <t>JÖNKÖPINGS LÄN</t>
        </is>
      </c>
      <c r="G726" t="inlineStr">
        <is>
          <t>GISLAVED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46306</v>
      </c>
      <c r="F727" t="inlineStr">
        <is>
          <t>JÖNKÖPINGS LÄN</t>
        </is>
      </c>
      <c r="G727" t="inlineStr">
        <is>
          <t>GISLAVED</t>
        </is>
      </c>
      <c r="H727" t="inlineStr">
        <is>
          <t>Kommuner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46306</v>
      </c>
      <c r="F728" t="inlineStr">
        <is>
          <t>JÖNKÖPINGS LÄN</t>
        </is>
      </c>
      <c r="G728" t="inlineStr">
        <is>
          <t>GISLAVED</t>
        </is>
      </c>
      <c r="H728" t="inlineStr">
        <is>
          <t>Kommuner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46254</v>
      </c>
      <c r="E729" s="1" t="n">
        <v>46306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41274-2026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46300</v>
      </c>
      <c r="E730" s="1" t="n">
        <v>46306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46254</v>
      </c>
      <c r="E731" s="1" t="n">
        <v>46306</v>
      </c>
      <c r="F731" t="inlineStr">
        <is>
          <t>JÖNKÖPINGS LÄN</t>
        </is>
      </c>
      <c r="G731" t="inlineStr">
        <is>
          <t>GISLAVED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40922-2026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46297</v>
      </c>
      <c r="E732" s="1" t="n">
        <v>46306</v>
      </c>
      <c r="F732" t="inlineStr">
        <is>
          <t>JÖNKÖPINGS LÄN</t>
        </is>
      </c>
      <c r="G732" t="inlineStr">
        <is>
          <t>GISLAVED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46301</v>
      </c>
      <c r="E733" s="1" t="n">
        <v>46306</v>
      </c>
      <c r="F733" t="inlineStr">
        <is>
          <t>JÖNKÖPINGS LÄN</t>
        </is>
      </c>
      <c r="G733" t="inlineStr">
        <is>
          <t>GISLAVED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46301</v>
      </c>
      <c r="E734" s="1" t="n">
        <v>46306</v>
      </c>
      <c r="F734" t="inlineStr">
        <is>
          <t>JÖNKÖPINGS LÄN</t>
        </is>
      </c>
      <c r="G734" t="inlineStr">
        <is>
          <t>GISLAVED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41427-2026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46301</v>
      </c>
      <c r="E735" s="1" t="n">
        <v>46306</v>
      </c>
      <c r="F735" t="inlineStr">
        <is>
          <t>JÖNKÖPINGS LÄN</t>
        </is>
      </c>
      <c r="G735" t="inlineStr">
        <is>
          <t>GISLAVED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46301</v>
      </c>
      <c r="E736" s="1" t="n">
        <v>46306</v>
      </c>
      <c r="F736" t="inlineStr">
        <is>
          <t>JÖNKÖPINGS LÄN</t>
        </is>
      </c>
      <c r="G736" t="inlineStr">
        <is>
          <t>GISLAVED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46306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46303</v>
      </c>
      <c r="E738" s="1" t="n">
        <v>46306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41886-2026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46306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46306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2925-2022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46306</v>
      </c>
      <c r="F741" t="inlineStr">
        <is>
          <t>JÖNKÖPINGS LÄN</t>
        </is>
      </c>
      <c r="G741" t="inlineStr">
        <is>
          <t>GISLAVED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2924-2022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46306</v>
      </c>
      <c r="F742" t="inlineStr">
        <is>
          <t>JÖNKÖPINGS LÄN</t>
        </is>
      </c>
      <c r="G742" t="inlineStr">
        <is>
          <t>GISLAVED</t>
        </is>
      </c>
      <c r="I742" t="n">
        <v>9.9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2928-2022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46306</v>
      </c>
      <c r="F743" t="inlineStr">
        <is>
          <t>JÖNKÖPINGS LÄN</t>
        </is>
      </c>
      <c r="G743" t="inlineStr">
        <is>
          <t>GISLAVED</t>
        </is>
      </c>
      <c r="I743" t="n">
        <v>26.5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46306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46306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46306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46306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46306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46306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46306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46306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46306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46306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46306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46306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46306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46306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46306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125-2026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46306</v>
      </c>
      <c r="F759" t="inlineStr">
        <is>
          <t>JÖNKÖPINGS LÄN</t>
        </is>
      </c>
      <c r="G759" t="inlineStr">
        <is>
          <t>GISLAVED</t>
        </is>
      </c>
      <c r="I759" t="n">
        <v>9.1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46306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46306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46306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46306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46306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46306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46306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46306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46306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46306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46306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46306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46306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46306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46306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2026-10-11T02:07:43Z</dcterms:created>
  <dcterms:modified xmlns:dcterms="http://purl.org/dc/terms/" xmlns:xsi="http://www.w3.org/2001/XMLSchema-instance" xsi:type="dcterms:W3CDTF">2026-10-11T02:07:44Z</dcterms:modified>
</cp:coreProperties>
</file>