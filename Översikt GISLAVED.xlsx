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s="2" t="inlineStr">
        <is>
          <t>Hornuggla
Tornseglare
Entita
Grynig filtlav
Lunglav
Mindre hackspett
Fällmossa
Guldlockmossa
Lönnlav
Sotlav
Nattskärra
Spillkråka
Tjäder
Trana</t>
        </is>
      </c>
      <c r="V2">
        <f>HYPERLINK("https://klasma.github.io/Logging_0662/artfynd/S 2729-2025 artfynd.xlsx", "S 2729-2025")</f>
        <v/>
      </c>
      <c r="W2">
        <f>HYPERLINK("https://klasma.github.io/Logging_0662/kartor/S 2729-2025 karta.png", "S 2729-2025")</f>
        <v/>
      </c>
      <c r="X2">
        <f>HYPERLINK("https://klasma.github.io/Logging_0662/kartor_geotiff/S 2729-2025 georefererad karta.tif", "S 2729-2025")</f>
        <v/>
      </c>
      <c r="Z2">
        <f>HYPERLINK("https://klasma.github.io/Logging_0662/klagomål/S 2729-2025 FSC-klagomål.docx", "S 2729-2025")</f>
        <v/>
      </c>
      <c r="AA2">
        <f>HYPERLINK("https://klasma.github.io/Logging_0662/klagomålsmail/S 2729-2025 FSC-klagomål mail.docx", "S 2729-2025")</f>
        <v/>
      </c>
      <c r="AB2">
        <f>HYPERLINK("https://klasma.github.io/Logging_0662/tillsyn/S 2729-2025 tillsynsbegäran.docx", "S 2729-2025")</f>
        <v/>
      </c>
      <c r="AC2">
        <f>HYPERLINK("https://klasma.github.io/Logging_0662/tillsynsmail/S 2729-2025 tillsynsbegäran mail.docx", "S 2729-2025")</f>
        <v/>
      </c>
      <c r="AD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s="2" t="inlineStr">
        <is>
          <t>Ask
Barbastell
Borsttåg
Brunlångöra
Dammfladdermus
Fransfladdermus
Nordfladdermus
Blåsippa
Dvärgpipistrell
Gråskimlig fladdermus
Större brunfladdermus
Vattenfladdermus</t>
        </is>
      </c>
      <c r="V3">
        <f>HYPERLINK("https://klasma.github.io/Logging_0662/artfynd/S 1685-2025 artfynd.xlsx", "S 1685-2025")</f>
        <v/>
      </c>
      <c r="W3">
        <f>HYPERLINK("https://klasma.github.io/Logging_0662/kartor/S 1685-2025 karta.png", "S 1685-2025")</f>
        <v/>
      </c>
      <c r="X3">
        <f>HYPERLINK("https://klasma.github.io/Logging_0662/kartor_geotiff/S 1685-2025 georefererad karta.tif", "S 1685-2025")</f>
        <v/>
      </c>
      <c r="Z3">
        <f>HYPERLINK("https://klasma.github.io/Logging_0662/klagomål/S 1685-2025 FSC-klagomål.docx", "S 1685-2025")</f>
        <v/>
      </c>
      <c r="AA3">
        <f>HYPERLINK("https://klasma.github.io/Logging_0662/klagomålsmail/S 1685-2025 FSC-klagomål mail.docx", "S 1685-2025")</f>
        <v/>
      </c>
      <c r="AB3">
        <f>HYPERLINK("https://klasma.github.io/Logging_0662/tillsyn/S 1685-2025 tillsynsbegäran.docx", "S 1685-2025")</f>
        <v/>
      </c>
      <c r="AC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Brunpudrad nållav
Kattfotslav
Flagellkvastmossa
Havstulpanlav
Klippfrullania
Kornig nållav</t>
        </is>
      </c>
      <c r="V4">
        <f>HYPERLINK("https://klasma.github.io/Logging_0662/artfynd/S 1528-2024 artfynd.xlsx", "S 1528-2024")</f>
        <v/>
      </c>
      <c r="W4">
        <f>HYPERLINK("https://klasma.github.io/Logging_0662/kartor/S 1528-2024 karta.png", "S 1528-2024")</f>
        <v/>
      </c>
      <c r="X4">
        <f>HYPERLINK("https://klasma.github.io/Logging_0662/kartor_geotiff/S 1528-2024 georefererad karta.tif", "S 1528-2024")</f>
        <v/>
      </c>
      <c r="Z4">
        <f>HYPERLINK("https://klasma.github.io/Logging_0662/klagomål/S 1528-2024 FSC-klagomål.docx", "S 1528-2024")</f>
        <v/>
      </c>
      <c r="AA4">
        <f>HYPERLINK("https://klasma.github.io/Logging_0662/klagomålsmail/S 1528-2024 FSC-klagomål mail.docx", "S 1528-2024")</f>
        <v/>
      </c>
      <c r="AB4">
        <f>HYPERLINK("https://klasma.github.io/Logging_0662/tillsyn/S 1528-2024 tillsynsbegäran.docx", "S 1528-2024")</f>
        <v/>
      </c>
      <c r="AC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X5">
        <f>HYPERLINK("https://klasma.github.io/Logging_0662/kartor_geotiff/A 19580-2025 georefererad karta.tif", "A 19580-2025")</f>
        <v/>
      </c>
      <c r="Z5">
        <f>HYPERLINK("https://klasma.github.io/Logging_0662/klagomål/A 19580-2025 FSC-klagomål.docx", "A 19580-2025")</f>
        <v/>
      </c>
      <c r="AA5">
        <f>HYPERLINK("https://klasma.github.io/Logging_0662/klagomålsmail/A 19580-2025 FSC-klagomål mail.docx", "A 19580-2025")</f>
        <v/>
      </c>
      <c r="AB5">
        <f>HYPERLINK("https://klasma.github.io/Logging_0662/tillsyn/A 19580-2025 tillsynsbegäran.docx", "A 19580-2025")</f>
        <v/>
      </c>
      <c r="AC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46223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Loppstarr
Mörk dunört
Lopplummer (aggregat)
Revlummer</t>
        </is>
      </c>
      <c r="V6">
        <f>HYPERLINK("https://klasma.github.io/Logging_0662/artfynd/A 19576-2025 artfynd.xlsx", "A 19576-2025")</f>
        <v/>
      </c>
      <c r="W6">
        <f>HYPERLINK("https://klasma.github.io/Logging_0662/kartor/A 19576-2025 karta.png", "A 19576-2025")</f>
        <v/>
      </c>
      <c r="X6">
        <f>HYPERLINK("https://klasma.github.io/Logging_0662/kartor_geotiff/A 19576-2025 georefererad karta.tif", "A 19576-2025")</f>
        <v/>
      </c>
      <c r="Z6">
        <f>HYPERLINK("https://klasma.github.io/Logging_0662/klagomål/A 19576-2025 FSC-klagomål.docx", "A 19576-2025")</f>
        <v/>
      </c>
      <c r="AA6">
        <f>HYPERLINK("https://klasma.github.io/Logging_0662/klagomålsmail/A 19576-2025 FSC-klagomål mail.docx", "A 19576-2025")</f>
        <v/>
      </c>
      <c r="AB6">
        <f>HYPERLINK("https://klasma.github.io/Logging_0662/tillsyn/A 19576-2025 tillsynsbegäran.docx", "A 19576-2025")</f>
        <v/>
      </c>
      <c r="AC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46223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Backtimjan
Jungfrulin
Vårstarr
Grönvit nattviol</t>
        </is>
      </c>
      <c r="V7">
        <f>HYPERLINK("https://klasma.github.io/Logging_0662/artfynd/A 31757-2024 artfynd.xlsx", "A 31757-2024")</f>
        <v/>
      </c>
      <c r="W7">
        <f>HYPERLINK("https://klasma.github.io/Logging_0662/kartor/A 31757-2024 karta.png", "A 31757-2024")</f>
        <v/>
      </c>
      <c r="X7">
        <f>HYPERLINK("https://klasma.github.io/Logging_0662/kartor_geotiff/A 31757-2024 georefererad karta.tif", "A 31757-2024")</f>
        <v/>
      </c>
      <c r="Z7">
        <f>HYPERLINK("https://klasma.github.io/Logging_0662/klagomål/A 31757-2024 FSC-klagomål.docx", "A 31757-2024")</f>
        <v/>
      </c>
      <c r="AA7">
        <f>HYPERLINK("https://klasma.github.io/Logging_0662/klagomålsmail/A 31757-2024 FSC-klagomål mail.docx", "A 31757-2024")</f>
        <v/>
      </c>
      <c r="AB7">
        <f>HYPERLINK("https://klasma.github.io/Logging_0662/tillsyn/A 31757-2024 tillsynsbegäran.docx", "A 31757-2024")</f>
        <v/>
      </c>
      <c r="AC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46223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X8">
        <f>HYPERLINK("https://klasma.github.io/Logging_0662/kartor_geotiff/A 14432-2026 georefererad karta.tif", "A 14432-2026")</f>
        <v/>
      </c>
      <c r="Z8">
        <f>HYPERLINK("https://klasma.github.io/Logging_0662/klagomål/A 14432-2026 FSC-klagomål.docx", "A 14432-2026")</f>
        <v/>
      </c>
      <c r="AA8">
        <f>HYPERLINK("https://klasma.github.io/Logging_0662/klagomålsmail/A 14432-2026 FSC-klagomål mail.docx", "A 14432-2026")</f>
        <v/>
      </c>
      <c r="AB8">
        <f>HYPERLINK("https://klasma.github.io/Logging_0662/tillsyn/A 14432-2026 tillsynsbegäran.docx", "A 14432-2026")</f>
        <v/>
      </c>
      <c r="AC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46223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s="2" t="inlineStr">
        <is>
          <t>Brunpudrad nållav
Trådticka
Spillkråka</t>
        </is>
      </c>
      <c r="V9">
        <f>HYPERLINK("https://klasma.github.io/Logging_0662/artfynd/A 54102-2023 artfynd.xlsx", "A 54102-2023")</f>
        <v/>
      </c>
      <c r="W9">
        <f>HYPERLINK("https://klasma.github.io/Logging_0662/kartor/A 54102-2023 karta.png", "A 54102-2023")</f>
        <v/>
      </c>
      <c r="X9">
        <f>HYPERLINK("https://klasma.github.io/Logging_0662/kartor_geotiff/A 54102-2023 georefererad karta.tif", "A 54102-2023")</f>
        <v/>
      </c>
      <c r="Z9">
        <f>HYPERLINK("https://klasma.github.io/Logging_0662/klagomål/A 54102-2023 FSC-klagomål.docx", "A 54102-2023")</f>
        <v/>
      </c>
      <c r="AA9">
        <f>HYPERLINK("https://klasma.github.io/Logging_0662/klagomålsmail/A 54102-2023 FSC-klagomål mail.docx", "A 54102-2023")</f>
        <v/>
      </c>
      <c r="AB9">
        <f>HYPERLINK("https://klasma.github.io/Logging_0662/tillsyn/A 54102-2023 tillsynsbegäran.docx", "A 54102-2023")</f>
        <v/>
      </c>
      <c r="AC9">
        <f>HYPERLINK("https://klasma.github.io/Logging_0662/tillsynsmail/A 54102-2023 tillsynsbegäran mail.docx", "A 54102-2023")</f>
        <v/>
      </c>
      <c r="AD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46223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Talltita
Bronshjon
Kungsfågel</t>
        </is>
      </c>
      <c r="V10">
        <f>HYPERLINK("https://klasma.github.io/Logging_0662/artfynd/A 59990-2025 artfynd.xlsx", "A 59990-2025")</f>
        <v/>
      </c>
      <c r="W10">
        <f>HYPERLINK("https://klasma.github.io/Logging_0662/kartor/A 59990-2025 karta.png", "A 59990-2025")</f>
        <v/>
      </c>
      <c r="X10">
        <f>HYPERLINK("https://klasma.github.io/Logging_0662/kartor_geotiff/A 59990-2025 georefererad karta.tif", "A 59990-2025")</f>
        <v/>
      </c>
      <c r="Z10">
        <f>HYPERLINK("https://klasma.github.io/Logging_0662/klagomål/A 59990-2025 FSC-klagomål.docx", "A 59990-2025")</f>
        <v/>
      </c>
      <c r="AA10">
        <f>HYPERLINK("https://klasma.github.io/Logging_0662/klagomålsmail/A 59990-2025 FSC-klagomål mail.docx", "A 59990-2025")</f>
        <v/>
      </c>
      <c r="AB10">
        <f>HYPERLINK("https://klasma.github.io/Logging_0662/tillsyn/A 59990-2025 tillsynsbegäran.docx", "A 59990-2025")</f>
        <v/>
      </c>
      <c r="AC10">
        <f>HYPERLINK("https://klasma.github.io/Logging_0662/tillsynsmail/A 59990-2025 tillsynsbegäran mail.docx", "A 59990-2025")</f>
        <v/>
      </c>
      <c r="AD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46223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s="2" t="inlineStr">
        <is>
          <t>Bredgentiana
Loppstarr
Sommarfibbla</t>
        </is>
      </c>
      <c r="V11">
        <f>HYPERLINK("https://klasma.github.io/Logging_0662/artfynd/A 69075-2021 artfynd.xlsx", "A 69075-2021")</f>
        <v/>
      </c>
      <c r="W11">
        <f>HYPERLINK("https://klasma.github.io/Logging_0662/kartor/A 69075-2021 karta.png", "A 69075-2021")</f>
        <v/>
      </c>
      <c r="X11">
        <f>HYPERLINK("https://klasma.github.io/Logging_0662/kartor_geotiff/A 69075-2021 georefererad karta.tif", "A 69075-2021")</f>
        <v/>
      </c>
      <c r="Z11">
        <f>HYPERLINK("https://klasma.github.io/Logging_0662/klagomål/A 69075-2021 FSC-klagomål.docx", "A 69075-2021")</f>
        <v/>
      </c>
      <c r="AA11">
        <f>HYPERLINK("https://klasma.github.io/Logging_0662/klagomålsmail/A 69075-2021 FSC-klagomål mail.docx", "A 69075-2021")</f>
        <v/>
      </c>
      <c r="AB11">
        <f>HYPERLINK("https://klasma.github.io/Logging_0662/tillsyn/A 69075-2021 tillsynsbegäran.docx", "A 69075-2021")</f>
        <v/>
      </c>
      <c r="AC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46223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Tjäder
Havsörn
Revlummer</t>
        </is>
      </c>
      <c r="V12">
        <f>HYPERLINK("https://klasma.github.io/Logging_0662/artfynd/A 15227-2024 artfynd.xlsx", "A 15227-2024")</f>
        <v/>
      </c>
      <c r="W12">
        <f>HYPERLINK("https://klasma.github.io/Logging_0662/kartor/A 15227-2024 karta.png", "A 15227-2024")</f>
        <v/>
      </c>
      <c r="X12">
        <f>HYPERLINK("https://klasma.github.io/Logging_0662/kartor_geotiff/A 15227-2024 georefererad karta.tif", "A 15227-2024")</f>
        <v/>
      </c>
      <c r="Z12">
        <f>HYPERLINK("https://klasma.github.io/Logging_0662/klagomål/A 15227-2024 FSC-klagomål.docx", "A 15227-2024")</f>
        <v/>
      </c>
      <c r="AA12">
        <f>HYPERLINK("https://klasma.github.io/Logging_0662/klagomålsmail/A 15227-2024 FSC-klagomål mail.docx", "A 15227-2024")</f>
        <v/>
      </c>
      <c r="AB12">
        <f>HYPERLINK("https://klasma.github.io/Logging_0662/tillsyn/A 15227-2024 tillsynsbegäran.docx", "A 15227-2024")</f>
        <v/>
      </c>
      <c r="AC12">
        <f>HYPERLINK("https://klasma.github.io/Logging_0662/tillsynsmail/A 15227-2024 tillsynsbegäran mail.docx", "A 15227-2024")</f>
        <v/>
      </c>
      <c r="AD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46223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s="2" t="inlineStr">
        <is>
          <t>Knärot
Stor revmossa
Västlig hakmossa</t>
        </is>
      </c>
      <c r="V13">
        <f>HYPERLINK("https://klasma.github.io/Logging_0662/artfynd/A 24572-2025 artfynd.xlsx", "A 24572-2025")</f>
        <v/>
      </c>
      <c r="W13">
        <f>HYPERLINK("https://klasma.github.io/Logging_0662/kartor/A 24572-2025 karta.png", "A 24572-2025")</f>
        <v/>
      </c>
      <c r="X13">
        <f>HYPERLINK("https://klasma.github.io/Logging_0662/kartor_geotiff/A 24572-2025 georefererad karta.tif", "A 24572-2025")</f>
        <v/>
      </c>
      <c r="Y13">
        <f>HYPERLINK("https://klasma.github.io/Logging_0662/knärot/A 24572-2025 karta knärot.png", "A 24572-2025")</f>
        <v/>
      </c>
      <c r="Z13">
        <f>HYPERLINK("https://klasma.github.io/Logging_0662/klagomål/A 24572-2025 FSC-klagomål.docx", "A 24572-2025")</f>
        <v/>
      </c>
      <c r="AA13">
        <f>HYPERLINK("https://klasma.github.io/Logging_0662/klagomålsmail/A 24572-2025 FSC-klagomål mail.docx", "A 24572-2025")</f>
        <v/>
      </c>
      <c r="AB13">
        <f>HYPERLINK("https://klasma.github.io/Logging_0662/tillsyn/A 24572-2025 tillsynsbegäran.docx", "A 24572-2025")</f>
        <v/>
      </c>
      <c r="AC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X14">
        <f>HYPERLINK("https://klasma.github.io/Logging_0662/kartor_geotiff/A 35940-2022 georefererad karta.tif", "A 35940-2022")</f>
        <v/>
      </c>
      <c r="Z14">
        <f>HYPERLINK("https://klasma.github.io/Logging_0662/klagomål/A 35940-2022 FSC-klagomål.docx", "A 35940-2022")</f>
        <v/>
      </c>
      <c r="AA14">
        <f>HYPERLINK("https://klasma.github.io/Logging_0662/klagomålsmail/A 35940-2022 FSC-klagomål mail.docx", "A 35940-2022")</f>
        <v/>
      </c>
      <c r="AB14">
        <f>HYPERLINK("https://klasma.github.io/Logging_0662/tillsyn/A 35940-2022 tillsynsbegäran.docx", "A 35940-2022")</f>
        <v/>
      </c>
      <c r="AC14">
        <f>HYPERLINK("https://klasma.github.io/Logging_0662/tillsynsmail/A 35940-2022 tillsynsbegäran mail.docx", "A 35940-2022")</f>
        <v/>
      </c>
      <c r="AD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X15">
        <f>HYPERLINK("https://klasma.github.io/Logging_0662/kartor_geotiff/A 35943-2022 georefererad karta.tif", "A 35943-2022")</f>
        <v/>
      </c>
      <c r="Z15">
        <f>HYPERLINK("https://klasma.github.io/Logging_0662/klagomål/A 35943-2022 FSC-klagomål.docx", "A 35943-2022")</f>
        <v/>
      </c>
      <c r="AA15">
        <f>HYPERLINK("https://klasma.github.io/Logging_0662/klagomålsmail/A 35943-2022 FSC-klagomål mail.docx", "A 35943-2022")</f>
        <v/>
      </c>
      <c r="AB15">
        <f>HYPERLINK("https://klasma.github.io/Logging_0662/tillsyn/A 35943-2022 tillsynsbegäran.docx", "A 35943-2022")</f>
        <v/>
      </c>
      <c r="AC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46223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HYPERLINK("https://klasma.github.io/Logging_0662/artfynd/A 30362-2022 artfynd.xlsx", "A 30362-2022")</f>
        <v/>
      </c>
      <c r="W16">
        <f>HYPERLINK("https://klasma.github.io/Logging_0662/kartor/A 30362-2022 karta.png", "A 30362-2022")</f>
        <v/>
      </c>
      <c r="X16">
        <f>HYPERLINK("https://klasma.github.io/Logging_0662/kartor_geotiff/A 30362-2022 georefererad karta.tif", "A 30362-2022")</f>
        <v/>
      </c>
      <c r="Y16">
        <f>HYPERLINK("https://klasma.github.io/Logging_0662/knärot/A 30362-2022 karta knärot.png", "A 30362-2022")</f>
        <v/>
      </c>
      <c r="Z16">
        <f>HYPERLINK("https://klasma.github.io/Logging_0662/klagomål/A 30362-2022 FSC-klagomål.docx", "A 30362-2022")</f>
        <v/>
      </c>
      <c r="AA16">
        <f>HYPERLINK("https://klasma.github.io/Logging_0662/klagomålsmail/A 30362-2022 FSC-klagomål mail.docx", "A 30362-2022")</f>
        <v/>
      </c>
      <c r="AB16">
        <f>HYPERLINK("https://klasma.github.io/Logging_0662/tillsyn/A 30362-2022 tillsynsbegäran.docx", "A 30362-2022")</f>
        <v/>
      </c>
      <c r="AC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HYPERLINK("https://klasma.github.io/Logging_0662/artfynd/A 57243-2024 artfynd.xlsx", "A 57243-2024")</f>
        <v/>
      </c>
      <c r="W17">
        <f>HYPERLINK("https://klasma.github.io/Logging_0662/kartor/A 57243-2024 karta.png", "A 57243-2024")</f>
        <v/>
      </c>
      <c r="X17">
        <f>HYPERLINK("https://klasma.github.io/Logging_0662/kartor_geotiff/A 57243-2024 georefererad karta.tif", "A 57243-2024")</f>
        <v/>
      </c>
      <c r="Z17">
        <f>HYPERLINK("https://klasma.github.io/Logging_0662/klagomål/A 57243-2024 FSC-klagomål.docx", "A 57243-2024")</f>
        <v/>
      </c>
      <c r="AA17">
        <f>HYPERLINK("https://klasma.github.io/Logging_0662/klagomålsmail/A 57243-2024 FSC-klagomål mail.docx", "A 57243-2024")</f>
        <v/>
      </c>
      <c r="AB17">
        <f>HYPERLINK("https://klasma.github.io/Logging_0662/tillsyn/A 57243-2024 tillsynsbegäran.docx", "A 57243-2024")</f>
        <v/>
      </c>
      <c r="AC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46223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Sotvaxskivling</t>
        </is>
      </c>
      <c r="V18">
        <f>HYPERLINK("https://klasma.github.io/Logging_0662/artfynd/A 39408-2025 artfynd.xlsx", "A 39408-2025")</f>
        <v/>
      </c>
      <c r="W18">
        <f>HYPERLINK("https://klasma.github.io/Logging_0662/kartor/A 39408-2025 karta.png", "A 39408-2025")</f>
        <v/>
      </c>
      <c r="X18">
        <f>HYPERLINK("https://klasma.github.io/Logging_0662/kartor_geotiff/A 39408-2025 georefererad karta.tif", "A 39408-2025")</f>
        <v/>
      </c>
      <c r="Z18">
        <f>HYPERLINK("https://klasma.github.io/Logging_0662/klagomål/A 39408-2025 FSC-klagomål.docx", "A 39408-2025")</f>
        <v/>
      </c>
      <c r="AA18">
        <f>HYPERLINK("https://klasma.github.io/Logging_0662/klagomålsmail/A 39408-2025 FSC-klagomål mail.docx", "A 39408-2025")</f>
        <v/>
      </c>
      <c r="AB18">
        <f>HYPERLINK("https://klasma.github.io/Logging_0662/tillsyn/A 39408-2025 tillsynsbegäran.docx", "A 39408-2025")</f>
        <v/>
      </c>
      <c r="AC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HYPERLINK("https://klasma.github.io/Logging_0662/artfynd/A 42449-2025 artfynd.xlsx", "A 42449-2025")</f>
        <v/>
      </c>
      <c r="W19">
        <f>HYPERLINK("https://klasma.github.io/Logging_0662/kartor/A 42449-2025 karta.png", "A 42449-2025")</f>
        <v/>
      </c>
      <c r="X19">
        <f>HYPERLINK("https://klasma.github.io/Logging_0662/kartor_geotiff/A 42449-2025 georefererad karta.tif", "A 42449-2025")</f>
        <v/>
      </c>
      <c r="Z19">
        <f>HYPERLINK("https://klasma.github.io/Logging_0662/klagomål/A 42449-2025 FSC-klagomål.docx", "A 42449-2025")</f>
        <v/>
      </c>
      <c r="AA19">
        <f>HYPERLINK("https://klasma.github.io/Logging_0662/klagomålsmail/A 42449-2025 FSC-klagomål mail.docx", "A 42449-2025")</f>
        <v/>
      </c>
      <c r="AB19">
        <f>HYPERLINK("https://klasma.github.io/Logging_0662/tillsyn/A 42449-2025 tillsynsbegäran.docx", "A 42449-2025")</f>
        <v/>
      </c>
      <c r="AC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46223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HYPERLINK("https://klasma.github.io/Logging_0662/artfynd/A 44728-2025 artfynd.xlsx", "A 44728-2025")</f>
        <v/>
      </c>
      <c r="W20">
        <f>HYPERLINK("https://klasma.github.io/Logging_0662/kartor/A 44728-2025 karta.png", "A 44728-2025")</f>
        <v/>
      </c>
      <c r="X20">
        <f>HYPERLINK("https://klasma.github.io/Logging_0662/kartor_geotiff/A 44728-2025 georefererad karta.tif", "A 44728-2025")</f>
        <v/>
      </c>
      <c r="Z20">
        <f>HYPERLINK("https://klasma.github.io/Logging_0662/klagomål/A 44728-2025 FSC-klagomål.docx", "A 44728-2025")</f>
        <v/>
      </c>
      <c r="AA20">
        <f>HYPERLINK("https://klasma.github.io/Logging_0662/klagomålsmail/A 44728-2025 FSC-klagomål mail.docx", "A 44728-2025")</f>
        <v/>
      </c>
      <c r="AB20">
        <f>HYPERLINK("https://klasma.github.io/Logging_0662/tillsyn/A 44728-2025 tillsynsbegäran.docx", "A 44728-2025")</f>
        <v/>
      </c>
      <c r="AC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46223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Safsa</t>
        </is>
      </c>
      <c r="V21">
        <f>HYPERLINK("https://klasma.github.io/Logging_0662/artfynd/A 6359-2023 artfynd.xlsx", "A 6359-2023")</f>
        <v/>
      </c>
      <c r="W21">
        <f>HYPERLINK("https://klasma.github.io/Logging_0662/kartor/A 6359-2023 karta.png", "A 6359-2023")</f>
        <v/>
      </c>
      <c r="X21">
        <f>HYPERLINK("https://klasma.github.io/Logging_0662/kartor_geotiff/A 6359-2023 georefererad karta.tif", "A 6359-2023")</f>
        <v/>
      </c>
      <c r="Z21">
        <f>HYPERLINK("https://klasma.github.io/Logging_0662/klagomål/A 6359-2023 FSC-klagomål.docx", "A 6359-2023")</f>
        <v/>
      </c>
      <c r="AA21">
        <f>HYPERLINK("https://klasma.github.io/Logging_0662/klagomålsmail/A 6359-2023 FSC-klagomål mail.docx", "A 6359-2023")</f>
        <v/>
      </c>
      <c r="AB21">
        <f>HYPERLINK("https://klasma.github.io/Logging_0662/tillsyn/A 6359-2023 tillsynsbegäran.docx", "A 6359-2023")</f>
        <v/>
      </c>
      <c r="AC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46223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Linnea</t>
        </is>
      </c>
      <c r="V22">
        <f>HYPERLINK("https://klasma.github.io/Logging_0662/artfynd/A 61927-2025 artfynd.xlsx", "A 61927-2025")</f>
        <v/>
      </c>
      <c r="W22">
        <f>HYPERLINK("https://klasma.github.io/Logging_0662/kartor/A 61927-2025 karta.png", "A 61927-2025")</f>
        <v/>
      </c>
      <c r="X22">
        <f>HYPERLINK("https://klasma.github.io/Logging_0662/kartor_geotiff/A 61927-2025 georefererad karta.tif", "A 61927-2025")</f>
        <v/>
      </c>
      <c r="Z22">
        <f>HYPERLINK("https://klasma.github.io/Logging_0662/klagomål/A 61927-2025 FSC-klagomål.docx", "A 61927-2025")</f>
        <v/>
      </c>
      <c r="AA22">
        <f>HYPERLINK("https://klasma.github.io/Logging_0662/klagomålsmail/A 61927-2025 FSC-klagomål mail.docx", "A 61927-2025")</f>
        <v/>
      </c>
      <c r="AB22">
        <f>HYPERLINK("https://klasma.github.io/Logging_0662/tillsyn/A 61927-2025 tillsynsbegäran.docx", "A 61927-2025")</f>
        <v/>
      </c>
      <c r="AC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46223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HYPERLINK("https://klasma.github.io/Logging_0662/artfynd/A 10231-2024 artfynd.xlsx", "A 10231-2024")</f>
        <v/>
      </c>
      <c r="W23">
        <f>HYPERLINK("https://klasma.github.io/Logging_0662/kartor/A 10231-2024 karta.png", "A 10231-2024")</f>
        <v/>
      </c>
      <c r="X23">
        <f>HYPERLINK("https://klasma.github.io/Logging_0662/kartor_geotiff/A 10231-2024 georefererad karta.tif", "A 10231-2024")</f>
        <v/>
      </c>
      <c r="Z23">
        <f>HYPERLINK("https://klasma.github.io/Logging_0662/klagomål/A 10231-2024 FSC-klagomål.docx", "A 10231-2024")</f>
        <v/>
      </c>
      <c r="AA23">
        <f>HYPERLINK("https://klasma.github.io/Logging_0662/klagomålsmail/A 10231-2024 FSC-klagomål mail.docx", "A 10231-2024")</f>
        <v/>
      </c>
      <c r="AB23">
        <f>HYPERLINK("https://klasma.github.io/Logging_0662/tillsyn/A 10231-2024 tillsynsbegäran.docx", "A 10231-2024")</f>
        <v/>
      </c>
      <c r="AC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46223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Ljungögontröst</t>
        </is>
      </c>
      <c r="V24">
        <f>HYPERLINK("https://klasma.github.io/Logging_0662/artfynd/A 18423-2024 artfynd.xlsx", "A 18423-2024")</f>
        <v/>
      </c>
      <c r="W24">
        <f>HYPERLINK("https://klasma.github.io/Logging_0662/kartor/A 18423-2024 karta.png", "A 18423-2024")</f>
        <v/>
      </c>
      <c r="X24">
        <f>HYPERLINK("https://klasma.github.io/Logging_0662/kartor_geotiff/A 18423-2024 georefererad karta.tif", "A 18423-2024")</f>
        <v/>
      </c>
      <c r="Z24">
        <f>HYPERLINK("https://klasma.github.io/Logging_0662/klagomål/A 18423-2024 FSC-klagomål.docx", "A 18423-2024")</f>
        <v/>
      </c>
      <c r="AA24">
        <f>HYPERLINK("https://klasma.github.io/Logging_0662/klagomålsmail/A 18423-2024 FSC-klagomål mail.docx", "A 18423-2024")</f>
        <v/>
      </c>
      <c r="AB24">
        <f>HYPERLINK("https://klasma.github.io/Logging_0662/tillsyn/A 18423-2024 tillsynsbegäran.docx", "A 18423-2024")</f>
        <v/>
      </c>
      <c r="AC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46223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X25">
        <f>HYPERLINK("https://klasma.github.io/Logging_0662/kartor_geotiff/A 47837-2024 georefererad karta.tif", "A 47837-2024")</f>
        <v/>
      </c>
      <c r="Z25">
        <f>HYPERLINK("https://klasma.github.io/Logging_0662/klagomål/A 47837-2024 FSC-klagomål.docx", "A 47837-2024")</f>
        <v/>
      </c>
      <c r="AA25">
        <f>HYPERLINK("https://klasma.github.io/Logging_0662/klagomålsmail/A 47837-2024 FSC-klagomål mail.docx", "A 47837-2024")</f>
        <v/>
      </c>
      <c r="AB25">
        <f>HYPERLINK("https://klasma.github.io/Logging_0662/tillsyn/A 47837-2024 tillsynsbegäran.docx", "A 47837-2024")</f>
        <v/>
      </c>
      <c r="AC25">
        <f>HYPERLINK("https://klasma.github.io/Logging_0662/tillsynsmail/A 47837-2024 tillsynsbegäran mail.docx", "A 47837-2024")</f>
        <v/>
      </c>
      <c r="AD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46223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HYPERLINK("https://klasma.github.io/Logging_0662/artfynd/A 18415-2026 artfynd.xlsx", "A 18415-2026")</f>
        <v/>
      </c>
      <c r="W26">
        <f>HYPERLINK("https://klasma.github.io/Logging_0662/kartor/A 18415-2026 karta.png", "A 18415-2026")</f>
        <v/>
      </c>
      <c r="X26">
        <f>HYPERLINK("https://klasma.github.io/Logging_0662/kartor_geotiff/A 18415-2026 georefererad karta.tif", "A 18415-2026")</f>
        <v/>
      </c>
      <c r="Z26">
        <f>HYPERLINK("https://klasma.github.io/Logging_0662/klagomål/A 18415-2026 FSC-klagomål.docx", "A 18415-2026")</f>
        <v/>
      </c>
      <c r="AA26">
        <f>HYPERLINK("https://klasma.github.io/Logging_0662/klagomålsmail/A 18415-2026 FSC-klagomål mail.docx", "A 18415-2026")</f>
        <v/>
      </c>
      <c r="AB26">
        <f>HYPERLINK("https://klasma.github.io/Logging_0662/tillsyn/A 18415-2026 tillsynsbegäran.docx", "A 18415-2026")</f>
        <v/>
      </c>
      <c r="AC26">
        <f>HYPERLINK("https://klasma.github.io/Logging_0662/tillsynsmail/A 18415-2026 tillsynsbegäran mail.docx", "A 18415-2026")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46223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Sommarfibbla</t>
        </is>
      </c>
      <c r="V27">
        <f>HYPERLINK("https://klasma.github.io/Logging_0662/artfynd/A 6546-2025 artfynd.xlsx", "A 6546-2025")</f>
        <v/>
      </c>
      <c r="W27">
        <f>HYPERLINK("https://klasma.github.io/Logging_0662/kartor/A 6546-2025 karta.png", "A 6546-2025")</f>
        <v/>
      </c>
      <c r="X27">
        <f>HYPERLINK("https://klasma.github.io/Logging_0662/kartor_geotiff/A 6546-2025 georefererad karta.tif", "A 6546-2025")</f>
        <v/>
      </c>
      <c r="Z27">
        <f>HYPERLINK("https://klasma.github.io/Logging_0662/klagomål/A 6546-2025 FSC-klagomål.docx", "A 6546-2025")</f>
        <v/>
      </c>
      <c r="AA27">
        <f>HYPERLINK("https://klasma.github.io/Logging_0662/klagomålsmail/A 6546-2025 FSC-klagomål mail.docx", "A 6546-2025")</f>
        <v/>
      </c>
      <c r="AB27">
        <f>HYPERLINK("https://klasma.github.io/Logging_0662/tillsyn/A 6546-2025 tillsynsbegäran.docx", "A 6546-2025")</f>
        <v/>
      </c>
      <c r="AC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46223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Kambräken</t>
        </is>
      </c>
      <c r="V28">
        <f>HYPERLINK("https://klasma.github.io/Logging_0662/artfynd/A 27358-2022 artfynd.xlsx", "A 27358-2022")</f>
        <v/>
      </c>
      <c r="W28">
        <f>HYPERLINK("https://klasma.github.io/Logging_0662/kartor/A 27358-2022 karta.png", "A 27358-2022")</f>
        <v/>
      </c>
      <c r="X28">
        <f>HYPERLINK("https://klasma.github.io/Logging_0662/kartor_geotiff/A 27358-2022 georefererad karta.tif", "A 27358-2022")</f>
        <v/>
      </c>
      <c r="Z28">
        <f>HYPERLINK("https://klasma.github.io/Logging_0662/klagomål/A 27358-2022 FSC-klagomål.docx", "A 27358-2022")</f>
        <v/>
      </c>
      <c r="AA28">
        <f>HYPERLINK("https://klasma.github.io/Logging_0662/klagomålsmail/A 27358-2022 FSC-klagomål mail.docx", "A 27358-2022")</f>
        <v/>
      </c>
      <c r="AB28">
        <f>HYPERLINK("https://klasma.github.io/Logging_0662/tillsyn/A 27358-2022 tillsynsbegäran.docx", "A 27358-2022")</f>
        <v/>
      </c>
      <c r="AC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46223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Kungsörn</t>
        </is>
      </c>
      <c r="V29">
        <f>HYPERLINK("https://klasma.github.io/Logging_0662/artfynd/A 40023-2024 artfynd.xlsx", "A 40023-2024")</f>
        <v/>
      </c>
      <c r="W29">
        <f>HYPERLINK("https://klasma.github.io/Logging_0662/kartor/A 40023-2024 karta.png", "A 40023-2024")</f>
        <v/>
      </c>
      <c r="X29">
        <f>HYPERLINK("https://klasma.github.io/Logging_0662/kartor_geotiff/A 40023-2024 georefererad karta.tif", "A 40023-2024")</f>
        <v/>
      </c>
      <c r="Z29">
        <f>HYPERLINK("https://klasma.github.io/Logging_0662/klagomål/A 40023-2024 FSC-klagomål.docx", "A 40023-2024")</f>
        <v/>
      </c>
      <c r="AA29">
        <f>HYPERLINK("https://klasma.github.io/Logging_0662/klagomålsmail/A 40023-2024 FSC-klagomål mail.docx", "A 40023-2024")</f>
        <v/>
      </c>
      <c r="AB29">
        <f>HYPERLINK("https://klasma.github.io/Logging_0662/tillsyn/A 40023-2024 tillsynsbegäran.docx", "A 40023-2024")</f>
        <v/>
      </c>
      <c r="AC29">
        <f>HYPERLINK("https://klasma.github.io/Logging_0662/tillsynsmail/A 40023-2024 tillsynsbegäran mail.docx", "A 40023-2024")</f>
        <v/>
      </c>
      <c r="AD29">
        <f>HYPERLINK("https://klasma.github.io/Logging_0662/fåglar/A 40023-2024 prioriterade fågelarter.docx", "A 40023-2024")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46223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Björksplintborre</t>
        </is>
      </c>
      <c r="V30">
        <f>HYPERLINK("https://klasma.github.io/Logging_0662/artfynd/A 28582-2022 artfynd.xlsx", "A 28582-2022")</f>
        <v/>
      </c>
      <c r="W30">
        <f>HYPERLINK("https://klasma.github.io/Logging_0662/kartor/A 28582-2022 karta.png", "A 28582-2022")</f>
        <v/>
      </c>
      <c r="X30">
        <f>HYPERLINK("https://klasma.github.io/Logging_0662/kartor_geotiff/A 28582-2022 georefererad karta.tif", "A 28582-2022")</f>
        <v/>
      </c>
      <c r="Z30">
        <f>HYPERLINK("https://klasma.github.io/Logging_0662/klagomål/A 28582-2022 FSC-klagomål.docx", "A 28582-2022")</f>
        <v/>
      </c>
      <c r="AA30">
        <f>HYPERLINK("https://klasma.github.io/Logging_0662/klagomålsmail/A 28582-2022 FSC-klagomål mail.docx", "A 28582-2022")</f>
        <v/>
      </c>
      <c r="AB30">
        <f>HYPERLINK("https://klasma.github.io/Logging_0662/tillsyn/A 28582-2022 tillsynsbegäran.docx", "A 28582-2022")</f>
        <v/>
      </c>
      <c r="AC30">
        <f>HYPERLINK("https://klasma.github.io/Logging_0662/tillsynsmail/A 28582-2022 tillsynsbegäran mail.docx", "A 28582-2022")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46223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Sommarfibbla</t>
        </is>
      </c>
      <c r="V31">
        <f>HYPERLINK("https://klasma.github.io/Logging_0662/artfynd/A 6545-2025 artfynd.xlsx", "A 6545-2025")</f>
        <v/>
      </c>
      <c r="W31">
        <f>HYPERLINK("https://klasma.github.io/Logging_0662/kartor/A 6545-2025 karta.png", "A 6545-2025")</f>
        <v/>
      </c>
      <c r="X31">
        <f>HYPERLINK("https://klasma.github.io/Logging_0662/kartor_geotiff/A 6545-2025 georefererad karta.tif", "A 6545-2025")</f>
        <v/>
      </c>
      <c r="Z31">
        <f>HYPERLINK("https://klasma.github.io/Logging_0662/klagomål/A 6545-2025 FSC-klagomål.docx", "A 6545-2025")</f>
        <v/>
      </c>
      <c r="AA31">
        <f>HYPERLINK("https://klasma.github.io/Logging_0662/klagomålsmail/A 6545-2025 FSC-klagomål mail.docx", "A 6545-2025")</f>
        <v/>
      </c>
      <c r="AB31">
        <f>HYPERLINK("https://klasma.github.io/Logging_0662/tillsyn/A 6545-2025 tillsynsbegäran.docx", "A 6545-2025")</f>
        <v/>
      </c>
      <c r="AC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46223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Borsttåg</t>
        </is>
      </c>
      <c r="V32">
        <f>HYPERLINK("https://klasma.github.io/Logging_0662/artfynd/A 11902-2025 artfynd.xlsx", "A 11902-2025")</f>
        <v/>
      </c>
      <c r="W32">
        <f>HYPERLINK("https://klasma.github.io/Logging_0662/kartor/A 11902-2025 karta.png", "A 11902-2025")</f>
        <v/>
      </c>
      <c r="X32">
        <f>HYPERLINK("https://klasma.github.io/Logging_0662/kartor_geotiff/A 11902-2025 georefererad karta.tif", "A 11902-2025")</f>
        <v/>
      </c>
      <c r="Z32">
        <f>HYPERLINK("https://klasma.github.io/Logging_0662/klagomål/A 11902-2025 FSC-klagomål.docx", "A 11902-2025")</f>
        <v/>
      </c>
      <c r="AA32">
        <f>HYPERLINK("https://klasma.github.io/Logging_0662/klagomålsmail/A 11902-2025 FSC-klagomål mail.docx", "A 11902-2025")</f>
        <v/>
      </c>
      <c r="AB32">
        <f>HYPERLINK("https://klasma.github.io/Logging_0662/tillsyn/A 11902-2025 tillsynsbegäran.docx", "A 11902-2025")</f>
        <v/>
      </c>
      <c r="AC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46223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Flodpärlmussla</t>
        </is>
      </c>
      <c r="V33">
        <f>HYPERLINK("https://klasma.github.io/Logging_0662/artfynd/S 2911-2022 artfynd.xlsx", "S 2911-2022")</f>
        <v/>
      </c>
      <c r="W33">
        <f>HYPERLINK("https://klasma.github.io/Logging_0662/kartor/S 2911-2022 karta.png", "S 2911-2022")</f>
        <v/>
      </c>
      <c r="X33">
        <f>HYPERLINK("https://klasma.github.io/Logging_0662/kartor_geotiff/S 2911-2022 georefererad karta.tif", "S 2911-2022")</f>
        <v/>
      </c>
      <c r="Z33">
        <f>HYPERLINK("https://klasma.github.io/Logging_0662/klagomål/S 2911-2022 FSC-klagomål.docx", "S 2911-2022")</f>
        <v/>
      </c>
      <c r="AA33">
        <f>HYPERLINK("https://klasma.github.io/Logging_0662/klagomålsmail/S 2911-2022 FSC-klagomål mail.docx", "S 2911-2022")</f>
        <v/>
      </c>
      <c r="AB33">
        <f>HYPERLINK("https://klasma.github.io/Logging_0662/tillsyn/S 2911-2022 tillsynsbegäran.docx", "S 2911-2022")</f>
        <v/>
      </c>
      <c r="AC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46223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X34">
        <f>HYPERLINK("https://klasma.github.io/Logging_0662/kartor_geotiff/S 304-2025 georefererad karta.tif", "S 304-2025")</f>
        <v/>
      </c>
      <c r="Z34">
        <f>HYPERLINK("https://klasma.github.io/Logging_0662/klagomål/S 304-2025 FSC-klagomål.docx", "S 304-2025")</f>
        <v/>
      </c>
      <c r="AA34">
        <f>HYPERLINK("https://klasma.github.io/Logging_0662/klagomålsmail/S 304-2025 FSC-klagomål mail.docx", "S 304-2025")</f>
        <v/>
      </c>
      <c r="AB34">
        <f>HYPERLINK("https://klasma.github.io/Logging_0662/tillsyn/S 304-2025 tillsynsbegäran.docx", "S 304-2025")</f>
        <v/>
      </c>
      <c r="AC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46223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X35">
        <f>HYPERLINK("https://klasma.github.io/Logging_0662/kartor_geotiff/S 1537-2024 georefererad karta.tif", "S 1537-2024")</f>
        <v/>
      </c>
      <c r="Z35">
        <f>HYPERLINK("https://klasma.github.io/Logging_0662/klagomål/S 1537-2024 FSC-klagomål.docx", "S 1537-2024")</f>
        <v/>
      </c>
      <c r="AA35">
        <f>HYPERLINK("https://klasma.github.io/Logging_0662/klagomålsmail/S 1537-2024 FSC-klagomål mail.docx", "S 1537-2024")</f>
        <v/>
      </c>
      <c r="AB35">
        <f>HYPERLINK("https://klasma.github.io/Logging_0662/tillsyn/S 1537-2024 tillsynsbegäran.docx", "S 1537-2024")</f>
        <v/>
      </c>
      <c r="AC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46223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X36">
        <f>HYPERLINK("https://klasma.github.io/Logging_0662/kartor_geotiff/S 1529-2024 georefererad karta.tif", "S 1529-2024")</f>
        <v/>
      </c>
      <c r="Z36">
        <f>HYPERLINK("https://klasma.github.io/Logging_0662/klagomål/S 1529-2024 FSC-klagomål.docx", "S 1529-2024")</f>
        <v/>
      </c>
      <c r="AA36">
        <f>HYPERLINK("https://klasma.github.io/Logging_0662/klagomålsmail/S 1529-2024 FSC-klagomål mail.docx", "S 1529-2024")</f>
        <v/>
      </c>
      <c r="AB36">
        <f>HYPERLINK("https://klasma.github.io/Logging_0662/tillsyn/S 1529-2024 tillsynsbegäran.docx", "S 1529-2024")</f>
        <v/>
      </c>
      <c r="AC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46223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X37">
        <f>HYPERLINK("https://klasma.github.io/Logging_0662/kartor_geotiff/S 576-2025 georefererad karta.tif", "S 576-2025")</f>
        <v/>
      </c>
      <c r="Z37">
        <f>HYPERLINK("https://klasma.github.io/Logging_0662/klagomål/S 576-2025 FSC-klagomål.docx", "S 576-2025")</f>
        <v/>
      </c>
      <c r="AA37">
        <f>HYPERLINK("https://klasma.github.io/Logging_0662/klagomålsmail/S 576-2025 FSC-klagomål mail.docx", "S 576-2025")</f>
        <v/>
      </c>
      <c r="AB37">
        <f>HYPERLINK("https://klasma.github.io/Logging_0662/tillsyn/S 576-2025 tillsynsbegäran.docx", "S 576-2025")</f>
        <v/>
      </c>
      <c r="AC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46223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46223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46223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46223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46223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46223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46223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46223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46223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46223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46223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46223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46223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46223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46223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46223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46223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46223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46223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46223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46223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46223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46223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46223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46223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46223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46223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46223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46223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46223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46223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46223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46223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46223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46223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46223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46223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46223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46223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46223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46223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46223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46223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46223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46223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46223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46223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46223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46223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46223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46223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46223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46223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46223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46223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46223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46223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46223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46223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46223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30032-2023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46223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34067-2022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46223</v>
      </c>
      <c r="F99" t="inlineStr">
        <is>
          <t>JÖNKÖPINGS LÄN</t>
        </is>
      </c>
      <c r="G99" t="inlineStr">
        <is>
          <t>GISLAVED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46223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46223</v>
      </c>
      <c r="F101" t="inlineStr">
        <is>
          <t>JÖNKÖPINGS LÄN</t>
        </is>
      </c>
      <c r="G101" t="inlineStr">
        <is>
          <t>GISLAVED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46223</v>
      </c>
      <c r="F102" t="inlineStr">
        <is>
          <t>JÖNKÖPINGS LÄN</t>
        </is>
      </c>
      <c r="G102" t="inlineStr">
        <is>
          <t>GISLAVED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12880-2024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46223</v>
      </c>
      <c r="F103" t="inlineStr">
        <is>
          <t>JÖNKÖPINGS LÄN</t>
        </is>
      </c>
      <c r="G103" t="inlineStr">
        <is>
          <t>GISLAVED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46223</v>
      </c>
      <c r="F104" t="inlineStr">
        <is>
          <t>JÖNKÖPINGS LÄN</t>
        </is>
      </c>
      <c r="G104" t="inlineStr">
        <is>
          <t>GISLAVED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46223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26642-2022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46223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46223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26954-2023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46223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46223</v>
      </c>
      <c r="F109" t="inlineStr">
        <is>
          <t>JÖNKÖPINGS LÄN</t>
        </is>
      </c>
      <c r="G109" t="inlineStr">
        <is>
          <t>GISLAVED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18961-2024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45427</v>
      </c>
      <c r="E110" s="1" t="n">
        <v>46223</v>
      </c>
      <c r="F110" t="inlineStr">
        <is>
          <t>JÖNKÖPINGS LÄN</t>
        </is>
      </c>
      <c r="G110" t="inlineStr">
        <is>
          <t>GISLAVED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44952</v>
      </c>
      <c r="E111" s="1" t="n">
        <v>46223</v>
      </c>
      <c r="F111" t="inlineStr">
        <is>
          <t>JÖNKÖPINGS LÄN</t>
        </is>
      </c>
      <c r="G111" t="inlineStr">
        <is>
          <t>GISLAVED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73545-2021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46223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46223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49682-2021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46223</v>
      </c>
      <c r="F114" t="inlineStr">
        <is>
          <t>JÖNKÖPINGS LÄN</t>
        </is>
      </c>
      <c r="G114" t="inlineStr">
        <is>
          <t>GISLAVED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38142-2022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46223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10049-2024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46223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25750-2024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46223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46223</v>
      </c>
      <c r="F118" t="inlineStr">
        <is>
          <t>JÖNKÖPINGS LÄN</t>
        </is>
      </c>
      <c r="G118" t="inlineStr">
        <is>
          <t>GISLAVED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46223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45135</v>
      </c>
      <c r="E120" s="1" t="n">
        <v>46223</v>
      </c>
      <c r="F120" t="inlineStr">
        <is>
          <t>JÖNKÖPINGS LÄN</t>
        </is>
      </c>
      <c r="G120" t="inlineStr">
        <is>
          <t>GISLAVED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32684-2024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45515</v>
      </c>
      <c r="E121" s="1" t="n">
        <v>46223</v>
      </c>
      <c r="F121" t="inlineStr">
        <is>
          <t>JÖNKÖPINGS LÄN</t>
        </is>
      </c>
      <c r="G121" t="inlineStr">
        <is>
          <t>GISLAVED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51811-2024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46223</v>
      </c>
      <c r="F122" t="inlineStr">
        <is>
          <t>JÖNKÖPINGS LÄN</t>
        </is>
      </c>
      <c r="G122" t="inlineStr">
        <is>
          <t>GISLAVED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46223</v>
      </c>
      <c r="F123" t="inlineStr">
        <is>
          <t>JÖNKÖPINGS LÄN</t>
        </is>
      </c>
      <c r="G123" t="inlineStr">
        <is>
          <t>GISLAVED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63269-2023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45273</v>
      </c>
      <c r="E124" s="1" t="n">
        <v>46223</v>
      </c>
      <c r="F124" t="inlineStr">
        <is>
          <t>JÖNKÖPINGS LÄN</t>
        </is>
      </c>
      <c r="G124" t="inlineStr">
        <is>
          <t>GISLAVED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66544-2021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46223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45235</v>
      </c>
      <c r="E126" s="1" t="n">
        <v>46223</v>
      </c>
      <c r="F126" t="inlineStr">
        <is>
          <t>JÖNKÖPINGS LÄN</t>
        </is>
      </c>
      <c r="G126" t="inlineStr">
        <is>
          <t>GISLAVED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46223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46223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46223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45488</v>
      </c>
      <c r="E130" s="1" t="n">
        <v>46223</v>
      </c>
      <c r="F130" t="inlineStr">
        <is>
          <t>JÖNKÖPINGS LÄN</t>
        </is>
      </c>
      <c r="G130" t="inlineStr">
        <is>
          <t>GISLAVED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46223</v>
      </c>
      <c r="F131" t="inlineStr">
        <is>
          <t>JÖNKÖPINGS LÄN</t>
        </is>
      </c>
      <c r="G131" t="inlineStr">
        <is>
          <t>GISLAVED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57433-2022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46223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46223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44563</v>
      </c>
      <c r="E134" s="1" t="n">
        <v>46223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46223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64815-2023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46223</v>
      </c>
      <c r="F136" t="inlineStr">
        <is>
          <t>JÖNKÖPINGS LÄN</t>
        </is>
      </c>
      <c r="G136" t="inlineStr">
        <is>
          <t>GISLAVED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65546-2021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44516</v>
      </c>
      <c r="E137" s="1" t="n">
        <v>46223</v>
      </c>
      <c r="F137" t="inlineStr">
        <is>
          <t>JÖNKÖPINGS LÄN</t>
        </is>
      </c>
      <c r="G137" t="inlineStr">
        <is>
          <t>GISLAVED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46223</v>
      </c>
      <c r="F138" t="inlineStr">
        <is>
          <t>JÖNKÖPINGS LÄN</t>
        </is>
      </c>
      <c r="G138" t="inlineStr">
        <is>
          <t>GISLAVED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26625-2025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46223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27525-2023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46223</v>
      </c>
      <c r="F140" t="inlineStr">
        <is>
          <t>JÖNKÖPINGS LÄN</t>
        </is>
      </c>
      <c r="G140" t="inlineStr">
        <is>
          <t>GISLAVED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54383-2024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46223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63263-2023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46223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46223</v>
      </c>
      <c r="F143" t="inlineStr">
        <is>
          <t>JÖNKÖPINGS LÄN</t>
        </is>
      </c>
      <c r="G143" t="inlineStr">
        <is>
          <t>GISLAVED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46223</v>
      </c>
      <c r="F144" t="inlineStr">
        <is>
          <t>JÖNKÖPINGS LÄN</t>
        </is>
      </c>
      <c r="G144" t="inlineStr">
        <is>
          <t>GISLAVED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46223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73547-2021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46223</v>
      </c>
      <c r="F146" t="inlineStr">
        <is>
          <t>JÖNKÖPINGS LÄN</t>
        </is>
      </c>
      <c r="G146" t="inlineStr">
        <is>
          <t>GISLAVED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46223</v>
      </c>
      <c r="F147" t="inlineStr">
        <is>
          <t>JÖNKÖPINGS LÄN</t>
        </is>
      </c>
      <c r="G147" t="inlineStr">
        <is>
          <t>GISLAVED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46223</v>
      </c>
      <c r="F148" t="inlineStr">
        <is>
          <t>JÖNKÖPINGS LÄN</t>
        </is>
      </c>
      <c r="G148" t="inlineStr">
        <is>
          <t>GISLAVED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46223</v>
      </c>
      <c r="F149" t="inlineStr">
        <is>
          <t>JÖNKÖPINGS LÄN</t>
        </is>
      </c>
      <c r="G149" t="inlineStr">
        <is>
          <t>GISLAVED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9136-2024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46223</v>
      </c>
      <c r="F150" t="inlineStr">
        <is>
          <t>JÖNKÖPINGS LÄN</t>
        </is>
      </c>
      <c r="G150" t="inlineStr">
        <is>
          <t>GISLAVED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46223</v>
      </c>
      <c r="F151" t="inlineStr">
        <is>
          <t>JÖNKÖPINGS LÄN</t>
        </is>
      </c>
      <c r="G151" t="inlineStr">
        <is>
          <t>GISLAVED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46223</v>
      </c>
      <c r="F152" t="inlineStr">
        <is>
          <t>JÖNKÖPINGS LÄN</t>
        </is>
      </c>
      <c r="G152" t="inlineStr">
        <is>
          <t>GISLAVED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38631-2025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46223</v>
      </c>
      <c r="F153" t="inlineStr">
        <is>
          <t>JÖNKÖPINGS LÄN</t>
        </is>
      </c>
      <c r="G153" t="inlineStr">
        <is>
          <t>GISLAVED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32989-2024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45517</v>
      </c>
      <c r="E154" s="1" t="n">
        <v>46223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46223</v>
      </c>
      <c r="F155" t="inlineStr">
        <is>
          <t>JÖNKÖPINGS LÄN</t>
        </is>
      </c>
      <c r="G155" t="inlineStr">
        <is>
          <t>GISLAVED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46223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27136-2025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46223</v>
      </c>
      <c r="F157" t="inlineStr">
        <is>
          <t>JÖNKÖPINGS LÄN</t>
        </is>
      </c>
      <c r="G157" t="inlineStr">
        <is>
          <t>GISLAVED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46223</v>
      </c>
      <c r="F158" t="inlineStr">
        <is>
          <t>JÖNKÖPINGS LÄN</t>
        </is>
      </c>
      <c r="G158" t="inlineStr">
        <is>
          <t>GISLAVED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46223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27626-2025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46223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46223</v>
      </c>
      <c r="F161" t="inlineStr">
        <is>
          <t>JÖNKÖPINGS LÄN</t>
        </is>
      </c>
      <c r="G161" t="inlineStr">
        <is>
          <t>GISLAVED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46223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45753</v>
      </c>
      <c r="E163" s="1" t="n">
        <v>46223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15832-2025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46223</v>
      </c>
      <c r="F164" t="inlineStr">
        <is>
          <t>JÖNKÖPINGS LÄN</t>
        </is>
      </c>
      <c r="G164" t="inlineStr">
        <is>
          <t>GISLAVED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61914-2021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46223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46223</v>
      </c>
      <c r="F166" t="inlineStr">
        <is>
          <t>JÖNKÖPINGS LÄN</t>
        </is>
      </c>
      <c r="G166" t="inlineStr">
        <is>
          <t>GISLAVED</t>
        </is>
      </c>
      <c r="H166" t="inlineStr">
        <is>
          <t>Kyrkan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46223</v>
      </c>
      <c r="F167" t="inlineStr">
        <is>
          <t>JÖNKÖPINGS LÄN</t>
        </is>
      </c>
      <c r="G167" t="inlineStr">
        <is>
          <t>GISLAVED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46223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38978-2025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46223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46223</v>
      </c>
      <c r="F170" t="inlineStr">
        <is>
          <t>JÖNKÖPINGS LÄN</t>
        </is>
      </c>
      <c r="G170" t="inlineStr">
        <is>
          <t>GISLAVED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28685-2025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46223</v>
      </c>
      <c r="F171" t="inlineStr">
        <is>
          <t>JÖNKÖPINGS LÄN</t>
        </is>
      </c>
      <c r="G171" t="inlineStr">
        <is>
          <t>GISLAVED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46223</v>
      </c>
      <c r="F172" t="inlineStr">
        <is>
          <t>JÖNKÖPINGS LÄN</t>
        </is>
      </c>
      <c r="G172" t="inlineStr">
        <is>
          <t>GISLAVED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46223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46223</v>
      </c>
      <c r="F174" t="inlineStr">
        <is>
          <t>JÖNKÖPINGS LÄN</t>
        </is>
      </c>
      <c r="G174" t="inlineStr">
        <is>
          <t>GISLAVED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46223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46223</v>
      </c>
      <c r="F176" t="inlineStr">
        <is>
          <t>JÖNKÖPINGS LÄN</t>
        </is>
      </c>
      <c r="G176" t="inlineStr">
        <is>
          <t>GISLAVED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28810-2025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46223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7629-2022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46223</v>
      </c>
      <c r="F178" t="inlineStr">
        <is>
          <t>JÖNKÖPINGS LÄN</t>
        </is>
      </c>
      <c r="G178" t="inlineStr">
        <is>
          <t>GISLAVED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46223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46223</v>
      </c>
      <c r="F180" t="inlineStr">
        <is>
          <t>JÖNKÖPINGS LÄN</t>
        </is>
      </c>
      <c r="G180" t="inlineStr">
        <is>
          <t>GISLAVED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29221-2025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46223</v>
      </c>
      <c r="F181" t="inlineStr">
        <is>
          <t>JÖNKÖPINGS LÄN</t>
        </is>
      </c>
      <c r="G181" t="inlineStr">
        <is>
          <t>GISLAVED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46223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46223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46223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46223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46223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46223</v>
      </c>
      <c r="F187" t="inlineStr">
        <is>
          <t>JÖNKÖPINGS LÄN</t>
        </is>
      </c>
      <c r="G187" t="inlineStr">
        <is>
          <t>GISLAVED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46223</v>
      </c>
      <c r="F188" t="inlineStr">
        <is>
          <t>JÖNKÖPINGS LÄN</t>
        </is>
      </c>
      <c r="G188" t="inlineStr">
        <is>
          <t>GISLAVED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57666-2023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46223</v>
      </c>
      <c r="F189" t="inlineStr">
        <is>
          <t>JÖNKÖPINGS LÄN</t>
        </is>
      </c>
      <c r="G189" t="inlineStr">
        <is>
          <t>GISLAVED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29717-2025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46223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46223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46223</v>
      </c>
      <c r="F192" t="inlineStr">
        <is>
          <t>JÖNKÖPINGS LÄN</t>
        </is>
      </c>
      <c r="G192" t="inlineStr">
        <is>
          <t>GISLAVED</t>
        </is>
      </c>
      <c r="I192" t="n">
        <v>9.6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46223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46223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46223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41742-2024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46223</v>
      </c>
      <c r="F196" t="inlineStr">
        <is>
          <t>JÖNKÖPINGS LÄN</t>
        </is>
      </c>
      <c r="G196" t="inlineStr">
        <is>
          <t>GISLAVED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46223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41738-2025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46223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46223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45900</v>
      </c>
      <c r="E200" s="1" t="n">
        <v>46223</v>
      </c>
      <c r="F200" t="inlineStr">
        <is>
          <t>JÖNKÖPINGS LÄN</t>
        </is>
      </c>
      <c r="G200" t="inlineStr">
        <is>
          <t>GISLAVED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46223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46223</v>
      </c>
      <c r="F202" t="inlineStr">
        <is>
          <t>JÖNKÖPINGS LÄN</t>
        </is>
      </c>
      <c r="G202" t="inlineStr">
        <is>
          <t>GISLAVED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30517-2025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46223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46223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46223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43408-2021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44432</v>
      </c>
      <c r="E206" s="1" t="n">
        <v>46223</v>
      </c>
      <c r="F206" t="inlineStr">
        <is>
          <t>JÖNKÖPINGS LÄN</t>
        </is>
      </c>
      <c r="G206" t="inlineStr">
        <is>
          <t>GISLAVED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42444-2025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46223</v>
      </c>
      <c r="F207" t="inlineStr">
        <is>
          <t>JÖNKÖPINGS LÄN</t>
        </is>
      </c>
      <c r="G207" t="inlineStr">
        <is>
          <t>GISLAVED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46223</v>
      </c>
      <c r="F208" t="inlineStr">
        <is>
          <t>JÖNKÖPINGS LÄN</t>
        </is>
      </c>
      <c r="G208" t="inlineStr">
        <is>
          <t>GISLAVED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30875-2024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45498</v>
      </c>
      <c r="E209" s="1" t="n">
        <v>46223</v>
      </c>
      <c r="F209" t="inlineStr">
        <is>
          <t>JÖNKÖPINGS LÄN</t>
        </is>
      </c>
      <c r="G209" t="inlineStr">
        <is>
          <t>GISLAVED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22487-2024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45447</v>
      </c>
      <c r="E210" s="1" t="n">
        <v>46223</v>
      </c>
      <c r="F210" t="inlineStr">
        <is>
          <t>JÖNKÖPINGS LÄN</t>
        </is>
      </c>
      <c r="G210" t="inlineStr">
        <is>
          <t>GISLAVED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62763-2022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44926</v>
      </c>
      <c r="E211" s="1" t="n">
        <v>46223</v>
      </c>
      <c r="F211" t="inlineStr">
        <is>
          <t>JÖNKÖPINGS LÄN</t>
        </is>
      </c>
      <c r="G211" t="inlineStr">
        <is>
          <t>GISLAVED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46223</v>
      </c>
      <c r="F212" t="inlineStr">
        <is>
          <t>JÖNKÖPINGS LÄN</t>
        </is>
      </c>
      <c r="G212" t="inlineStr">
        <is>
          <t>GISLAVED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44433</v>
      </c>
      <c r="E213" s="1" t="n">
        <v>46223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46223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46223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42602-2025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45905</v>
      </c>
      <c r="E216" s="1" t="n">
        <v>46223</v>
      </c>
      <c r="F216" t="inlineStr">
        <is>
          <t>JÖNKÖPINGS LÄN</t>
        </is>
      </c>
      <c r="G216" t="inlineStr">
        <is>
          <t>GISLAVED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46223</v>
      </c>
      <c r="F217" t="inlineStr">
        <is>
          <t>JÖNKÖPINGS LÄN</t>
        </is>
      </c>
      <c r="G217" t="inlineStr">
        <is>
          <t>GISLAVED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43142-2025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46223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43272-2025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46223</v>
      </c>
      <c r="F219" t="inlineStr">
        <is>
          <t>JÖNKÖPINGS LÄN</t>
        </is>
      </c>
      <c r="G219" t="inlineStr">
        <is>
          <t>GISLAVED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43141-2025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46223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46223</v>
      </c>
      <c r="F221" t="inlineStr">
        <is>
          <t>JÖNKÖPINGS LÄN</t>
        </is>
      </c>
      <c r="G221" t="inlineStr">
        <is>
          <t>GISLAVED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43430-2025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46223</v>
      </c>
      <c r="F222" t="inlineStr">
        <is>
          <t>JÖNKÖPINGS LÄN</t>
        </is>
      </c>
      <c r="G222" t="inlineStr">
        <is>
          <t>GISLAVED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46223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43798-2025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46223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38167-2025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46223</v>
      </c>
      <c r="F225" t="inlineStr">
        <is>
          <t>JÖNKÖPINGS LÄN</t>
        </is>
      </c>
      <c r="G225" t="inlineStr">
        <is>
          <t>GISLAVED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46223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46223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46223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46223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50019-2024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45599</v>
      </c>
      <c r="E230" s="1" t="n">
        <v>46223</v>
      </c>
      <c r="F230" t="inlineStr">
        <is>
          <t>JÖNKÖPINGS LÄN</t>
        </is>
      </c>
      <c r="G230" t="inlineStr">
        <is>
          <t>GISLAVED</t>
        </is>
      </c>
      <c r="I230" t="n">
        <v>13.7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46223</v>
      </c>
      <c r="F231" t="inlineStr">
        <is>
          <t>JÖNKÖPINGS LÄN</t>
        </is>
      </c>
      <c r="G231" t="inlineStr">
        <is>
          <t>GISLAVED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44287-2025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46223</v>
      </c>
      <c r="F232" t="inlineStr">
        <is>
          <t>JÖNKÖPINGS LÄN</t>
        </is>
      </c>
      <c r="G232" t="inlineStr">
        <is>
          <t>GISLAVED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46223</v>
      </c>
      <c r="F233" t="inlineStr">
        <is>
          <t>JÖNKÖPINGS LÄN</t>
        </is>
      </c>
      <c r="G233" t="inlineStr">
        <is>
          <t>GISLAVED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28751-2022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44749</v>
      </c>
      <c r="E234" s="1" t="n">
        <v>46223</v>
      </c>
      <c r="F234" t="inlineStr">
        <is>
          <t>JÖNKÖPINGS LÄN</t>
        </is>
      </c>
      <c r="G234" t="inlineStr">
        <is>
          <t>GISLAVED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46223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44719-2025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46223</v>
      </c>
      <c r="F236" t="inlineStr">
        <is>
          <t>JÖNKÖPINGS LÄN</t>
        </is>
      </c>
      <c r="G236" t="inlineStr">
        <is>
          <t>GISLAVED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46223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44896-2025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46223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46223</v>
      </c>
      <c r="F239" t="inlineStr">
        <is>
          <t>JÖNKÖPINGS LÄN</t>
        </is>
      </c>
      <c r="G239" t="inlineStr">
        <is>
          <t>GISLAVED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46223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48976-2024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46223</v>
      </c>
      <c r="F241" t="inlineStr">
        <is>
          <t>JÖNKÖPINGS LÄN</t>
        </is>
      </c>
      <c r="G241" t="inlineStr">
        <is>
          <t>GISLAVED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18573-2024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46223</v>
      </c>
      <c r="F242" t="inlineStr">
        <is>
          <t>JÖNKÖPINGS LÄN</t>
        </is>
      </c>
      <c r="G242" t="inlineStr">
        <is>
          <t>GISLAVED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46223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46223</v>
      </c>
      <c r="F244" t="inlineStr">
        <is>
          <t>JÖNKÖPINGS LÄN</t>
        </is>
      </c>
      <c r="G244" t="inlineStr">
        <is>
          <t>GISLAVED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7648-2024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45348</v>
      </c>
      <c r="E245" s="1" t="n">
        <v>46223</v>
      </c>
      <c r="F245" t="inlineStr">
        <is>
          <t>JÖNKÖPINGS LÄN</t>
        </is>
      </c>
      <c r="G245" t="inlineStr">
        <is>
          <t>GISLAVED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46223</v>
      </c>
      <c r="F246" t="inlineStr">
        <is>
          <t>JÖNKÖPINGS LÄN</t>
        </is>
      </c>
      <c r="G246" t="inlineStr">
        <is>
          <t>GISLAVED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24005-2025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46223</v>
      </c>
      <c r="F247" t="inlineStr">
        <is>
          <t>JÖNKÖPINGS LÄN</t>
        </is>
      </c>
      <c r="G247" t="inlineStr">
        <is>
          <t>GISLAVED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31545-2023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46223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16717-2025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45754</v>
      </c>
      <c r="E249" s="1" t="n">
        <v>46223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46223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47729-2025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46223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46223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46223</v>
      </c>
      <c r="F253" t="inlineStr">
        <is>
          <t>JÖNKÖPINGS LÄN</t>
        </is>
      </c>
      <c r="G253" t="inlineStr">
        <is>
          <t>GISLAVED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46223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18438-2023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45042</v>
      </c>
      <c r="E255" s="1" t="n">
        <v>46223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46223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46223</v>
      </c>
      <c r="F257" t="inlineStr">
        <is>
          <t>JÖNKÖPINGS LÄN</t>
        </is>
      </c>
      <c r="G257" t="inlineStr">
        <is>
          <t>GISLAVED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46223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47711-2025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46223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46223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46223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48365-2025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46223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46223</v>
      </c>
      <c r="F263" t="inlineStr">
        <is>
          <t>JÖNKÖPINGS LÄN</t>
        </is>
      </c>
      <c r="G263" t="inlineStr">
        <is>
          <t>GISLAVED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47840-2024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46223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50704-2022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46223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46223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46223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16016-2023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45026</v>
      </c>
      <c r="E268" s="1" t="n">
        <v>46223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48362-2025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46223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46223</v>
      </c>
      <c r="F270" t="inlineStr">
        <is>
          <t>JÖNKÖPINGS LÄN</t>
        </is>
      </c>
      <c r="G270" t="inlineStr">
        <is>
          <t>GISLAVED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36010-2025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45863</v>
      </c>
      <c r="E271" s="1" t="n">
        <v>46223</v>
      </c>
      <c r="F271" t="inlineStr">
        <is>
          <t>JÖNKÖPINGS LÄN</t>
        </is>
      </c>
      <c r="G271" t="inlineStr">
        <is>
          <t>GISLAVED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7835-2025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46223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7844-2025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46223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44615</v>
      </c>
      <c r="E274" s="1" t="n">
        <v>46223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23598-2022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44721</v>
      </c>
      <c r="E275" s="1" t="n">
        <v>46223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61177-2021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46223</v>
      </c>
      <c r="F276" t="inlineStr">
        <is>
          <t>JÖNKÖPINGS LÄN</t>
        </is>
      </c>
      <c r="G276" t="inlineStr">
        <is>
          <t>GISLAVED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48366-2025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46223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46223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46223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25753-2024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45465</v>
      </c>
      <c r="E280" s="1" t="n">
        <v>46223</v>
      </c>
      <c r="F280" t="inlineStr">
        <is>
          <t>JÖNKÖPINGS LÄN</t>
        </is>
      </c>
      <c r="G280" t="inlineStr">
        <is>
          <t>GISLAVED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25758-2024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45465</v>
      </c>
      <c r="E281" s="1" t="n">
        <v>46223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33274-2024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45518</v>
      </c>
      <c r="E282" s="1" t="n">
        <v>46223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46223</v>
      </c>
      <c r="F283" t="inlineStr">
        <is>
          <t>JÖNKÖPINGS LÄN</t>
        </is>
      </c>
      <c r="G283" t="inlineStr">
        <is>
          <t>GISLAVED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25757-2024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46223</v>
      </c>
      <c r="F284" t="inlineStr">
        <is>
          <t>JÖNKÖPINGS LÄN</t>
        </is>
      </c>
      <c r="G284" t="inlineStr">
        <is>
          <t>GISLAVED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52993-2024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46223</v>
      </c>
      <c r="F285" t="inlineStr">
        <is>
          <t>JÖNKÖPINGS LÄN</t>
        </is>
      </c>
      <c r="G285" t="inlineStr">
        <is>
          <t>GISLAVED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34995-2025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45849</v>
      </c>
      <c r="E286" s="1" t="n">
        <v>46223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51929-2024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46223</v>
      </c>
      <c r="F287" t="inlineStr">
        <is>
          <t>JÖNKÖPINGS LÄN</t>
        </is>
      </c>
      <c r="G287" t="inlineStr">
        <is>
          <t>GISLAVED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24709-2023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45084</v>
      </c>
      <c r="E288" s="1" t="n">
        <v>46223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14588-2024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45395</v>
      </c>
      <c r="E289" s="1" t="n">
        <v>46223</v>
      </c>
      <c r="F289" t="inlineStr">
        <is>
          <t>JÖNKÖPINGS LÄN</t>
        </is>
      </c>
      <c r="G289" t="inlineStr">
        <is>
          <t>GISLAVED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14589-2024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46223</v>
      </c>
      <c r="F290" t="inlineStr">
        <is>
          <t>JÖNKÖPINGS LÄN</t>
        </is>
      </c>
      <c r="G290" t="inlineStr">
        <is>
          <t>GISLAVED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7224-2023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46223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25752-2024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46223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25755-2024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46223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45498</v>
      </c>
      <c r="E294" s="1" t="n">
        <v>46223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10539-2025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46223</v>
      </c>
      <c r="F295" t="inlineStr">
        <is>
          <t>JÖNKÖPINGS LÄN</t>
        </is>
      </c>
      <c r="G295" t="inlineStr">
        <is>
          <t>GISLAVED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46223</v>
      </c>
      <c r="F296" t="inlineStr">
        <is>
          <t>JÖNKÖPINGS LÄN</t>
        </is>
      </c>
      <c r="G296" t="inlineStr">
        <is>
          <t>GISLAVED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26572-2022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46223</v>
      </c>
      <c r="F297" t="inlineStr">
        <is>
          <t>JÖNKÖPINGS LÄN</t>
        </is>
      </c>
      <c r="G297" t="inlineStr">
        <is>
          <t>GISLAVED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12547-2023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45000</v>
      </c>
      <c r="E298" s="1" t="n">
        <v>46223</v>
      </c>
      <c r="F298" t="inlineStr">
        <is>
          <t>JÖNKÖPINGS LÄN</t>
        </is>
      </c>
      <c r="G298" t="inlineStr">
        <is>
          <t>GISLAVED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46223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46223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60653-2021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46223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59747-2022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46223</v>
      </c>
      <c r="F302" t="inlineStr">
        <is>
          <t>JÖNKÖPINGS LÄN</t>
        </is>
      </c>
      <c r="G302" t="inlineStr">
        <is>
          <t>GISLAVED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47243-2021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44447</v>
      </c>
      <c r="E303" s="1" t="n">
        <v>46223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53715-2021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46223</v>
      </c>
      <c r="F304" t="inlineStr">
        <is>
          <t>JÖNKÖPINGS LÄN</t>
        </is>
      </c>
      <c r="G304" t="inlineStr">
        <is>
          <t>GISLAVED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46223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44573-2023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46223</v>
      </c>
      <c r="F306" t="inlineStr">
        <is>
          <t>JÖNKÖPINGS LÄN</t>
        </is>
      </c>
      <c r="G306" t="inlineStr">
        <is>
          <t>GISLAVED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14586-2024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46223</v>
      </c>
      <c r="F307" t="inlineStr">
        <is>
          <t>JÖNKÖPINGS LÄN</t>
        </is>
      </c>
      <c r="G307" t="inlineStr">
        <is>
          <t>GISLAVED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39525-2023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46223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45395</v>
      </c>
      <c r="E309" s="1" t="n">
        <v>46223</v>
      </c>
      <c r="F309" t="inlineStr">
        <is>
          <t>JÖNKÖPINGS LÄN</t>
        </is>
      </c>
      <c r="G309" t="inlineStr">
        <is>
          <t>GISLAVED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36663-2025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46223</v>
      </c>
      <c r="F310" t="inlineStr">
        <is>
          <t>JÖNKÖPINGS LÄN</t>
        </is>
      </c>
      <c r="G310" t="inlineStr">
        <is>
          <t>GISLAVED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41625-2023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46223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37811-2022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46223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22168-2022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44712</v>
      </c>
      <c r="E313" s="1" t="n">
        <v>46223</v>
      </c>
      <c r="F313" t="inlineStr">
        <is>
          <t>JÖNKÖPINGS LÄN</t>
        </is>
      </c>
      <c r="G313" t="inlineStr">
        <is>
          <t>GISLAVED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48896-2025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46223</v>
      </c>
      <c r="F314" t="inlineStr">
        <is>
          <t>JÖNKÖPINGS LÄN</t>
        </is>
      </c>
      <c r="G314" t="inlineStr">
        <is>
          <t>GISLAVED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47248-2021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46223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22173-2022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44712</v>
      </c>
      <c r="E316" s="1" t="n">
        <v>46223</v>
      </c>
      <c r="F316" t="inlineStr">
        <is>
          <t>JÖNKÖPINGS LÄN</t>
        </is>
      </c>
      <c r="G316" t="inlineStr">
        <is>
          <t>GISLAVED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22176-2022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46223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43470-2021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44432</v>
      </c>
      <c r="E318" s="1" t="n">
        <v>46223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46223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46223</v>
      </c>
      <c r="F320" t="inlineStr">
        <is>
          <t>JÖNKÖPINGS LÄN</t>
        </is>
      </c>
      <c r="G320" t="inlineStr">
        <is>
          <t>GISLAVED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46223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46223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46223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38347-2022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46223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46223</v>
      </c>
      <c r="F325" t="inlineStr">
        <is>
          <t>JÖNKÖPINGS LÄN</t>
        </is>
      </c>
      <c r="G325" t="inlineStr">
        <is>
          <t>GISLAVED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49508-2025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46223</v>
      </c>
      <c r="F326" t="inlineStr">
        <is>
          <t>JÖNKÖPINGS LÄN</t>
        </is>
      </c>
      <c r="G326" t="inlineStr">
        <is>
          <t>GISLAVED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37231-2025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46223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27249-2023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46223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37250-2025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45876</v>
      </c>
      <c r="E329" s="1" t="n">
        <v>46223</v>
      </c>
      <c r="F329" t="inlineStr">
        <is>
          <t>JÖNKÖPINGS LÄN</t>
        </is>
      </c>
      <c r="G329" t="inlineStr">
        <is>
          <t>GISLAVED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46223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46223</v>
      </c>
      <c r="F331" t="inlineStr">
        <is>
          <t>JÖNKÖPINGS LÄN</t>
        </is>
      </c>
      <c r="G331" t="inlineStr">
        <is>
          <t>GISLAVED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53647-2024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46223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38209-2025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46223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38170-2025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46223</v>
      </c>
      <c r="F334" t="inlineStr">
        <is>
          <t>JÖNKÖPINGS LÄN</t>
        </is>
      </c>
      <c r="G334" t="inlineStr">
        <is>
          <t>GISLAVED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8744-2025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46223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38111-2025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46223</v>
      </c>
      <c r="F336" t="inlineStr">
        <is>
          <t>JÖNKÖPINGS LÄN</t>
        </is>
      </c>
      <c r="G336" t="inlineStr">
        <is>
          <t>GISLAVED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50525-2025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46223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46223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38962-2023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45163</v>
      </c>
      <c r="E339" s="1" t="n">
        <v>46223</v>
      </c>
      <c r="F339" t="inlineStr">
        <is>
          <t>JÖNKÖPINGS LÄN</t>
        </is>
      </c>
      <c r="G339" t="inlineStr">
        <is>
          <t>GISLAVED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50648-2025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46223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46223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31063-2023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46223</v>
      </c>
      <c r="F342" t="inlineStr">
        <is>
          <t>JÖNKÖPINGS LÄN</t>
        </is>
      </c>
      <c r="G342" t="inlineStr">
        <is>
          <t>GISLAVED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51404-2025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46223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25064-2022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46223</v>
      </c>
      <c r="F344" t="inlineStr">
        <is>
          <t>JÖNKÖPINGS LÄN</t>
        </is>
      </c>
      <c r="G344" t="inlineStr">
        <is>
          <t>GISLAVED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37167-2021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44396</v>
      </c>
      <c r="E345" s="1" t="n">
        <v>46223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45952</v>
      </c>
      <c r="E346" s="1" t="n">
        <v>46223</v>
      </c>
      <c r="F346" t="inlineStr">
        <is>
          <t>JÖNKÖPINGS LÄN</t>
        </is>
      </c>
      <c r="G346" t="inlineStr">
        <is>
          <t>GISLAVED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46223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8447-2026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46223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46223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53213-2025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46223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46223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53212-2025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46223</v>
      </c>
      <c r="F352" t="inlineStr">
        <is>
          <t>JÖNKÖPINGS LÄN</t>
        </is>
      </c>
      <c r="G352" t="inlineStr">
        <is>
          <t>GISLAVED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46223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45119</v>
      </c>
      <c r="E354" s="1" t="n">
        <v>46223</v>
      </c>
      <c r="F354" t="inlineStr">
        <is>
          <t>JÖNKÖPINGS LÄN</t>
        </is>
      </c>
      <c r="G354" t="inlineStr">
        <is>
          <t>GISLAVED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46223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53459-2025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46223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53670-2025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46223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9095-2026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46223</v>
      </c>
      <c r="F358" t="inlineStr">
        <is>
          <t>JÖNKÖPINGS LÄN</t>
        </is>
      </c>
      <c r="G358" t="inlineStr">
        <is>
          <t>GISLAVED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46223</v>
      </c>
      <c r="F359" t="inlineStr">
        <is>
          <t>JÖNKÖPINGS LÄN</t>
        </is>
      </c>
      <c r="G359" t="inlineStr">
        <is>
          <t>GISLAVED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53457-2025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46223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46223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53941-2025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46223</v>
      </c>
      <c r="F362" t="inlineStr">
        <is>
          <t>JÖNKÖPINGS LÄN</t>
        </is>
      </c>
      <c r="G362" t="inlineStr">
        <is>
          <t>GISLAVED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13981-2023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46223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45963</v>
      </c>
      <c r="E364" s="1" t="n">
        <v>46223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46223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54147-2025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45964</v>
      </c>
      <c r="E366" s="1" t="n">
        <v>46223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38213-2024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46223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27889-2024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46223</v>
      </c>
      <c r="F368" t="inlineStr">
        <is>
          <t>JÖNKÖPINGS LÄN</t>
        </is>
      </c>
      <c r="G368" t="inlineStr">
        <is>
          <t>GISLAVED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56926-2021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44482</v>
      </c>
      <c r="E369" s="1" t="n">
        <v>46223</v>
      </c>
      <c r="F369" t="inlineStr">
        <is>
          <t>JÖNKÖPINGS LÄN</t>
        </is>
      </c>
      <c r="G369" t="inlineStr">
        <is>
          <t>GISLAVED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62762-2022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44926</v>
      </c>
      <c r="E370" s="1" t="n">
        <v>46223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59187-2024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46223</v>
      </c>
      <c r="F371" t="inlineStr">
        <is>
          <t>JÖNKÖPINGS LÄN</t>
        </is>
      </c>
      <c r="G371" t="inlineStr">
        <is>
          <t>GISLAVED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30193-2022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44757</v>
      </c>
      <c r="E372" s="1" t="n">
        <v>46223</v>
      </c>
      <c r="F372" t="inlineStr">
        <is>
          <t>JÖNKÖPINGS LÄN</t>
        </is>
      </c>
      <c r="G372" t="inlineStr">
        <is>
          <t>GISLAVED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10080-2026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46223</v>
      </c>
      <c r="F373" t="inlineStr">
        <is>
          <t>JÖNKÖPINGS LÄN</t>
        </is>
      </c>
      <c r="G373" t="inlineStr">
        <is>
          <t>GISLAVED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39335-2022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46223</v>
      </c>
      <c r="F374" t="inlineStr">
        <is>
          <t>JÖNKÖPINGS LÄN</t>
        </is>
      </c>
      <c r="G374" t="inlineStr">
        <is>
          <t>GISLAVED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45730</v>
      </c>
      <c r="E375" s="1" t="n">
        <v>46223</v>
      </c>
      <c r="F375" t="inlineStr">
        <is>
          <t>JÖNKÖPINGS LÄN</t>
        </is>
      </c>
      <c r="G375" t="inlineStr">
        <is>
          <t>GISLAVED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22111-2022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46223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46223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49343-2025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46223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46223</v>
      </c>
      <c r="F379" t="inlineStr">
        <is>
          <t>JÖNKÖPINGS LÄN</t>
        </is>
      </c>
      <c r="G379" t="inlineStr">
        <is>
          <t>GISLAVED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54970-2025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46223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9854-2025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46223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55263-2025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46223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45968</v>
      </c>
      <c r="E383" s="1" t="n">
        <v>46223</v>
      </c>
      <c r="F383" t="inlineStr">
        <is>
          <t>JÖNKÖPINGS LÄN</t>
        </is>
      </c>
      <c r="G383" t="inlineStr">
        <is>
          <t>GISLAVED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55543-2025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46223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56890-2022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46223</v>
      </c>
      <c r="F385" t="inlineStr">
        <is>
          <t>JÖNKÖPINGS LÄN</t>
        </is>
      </c>
      <c r="G385" t="inlineStr">
        <is>
          <t>GISLAVED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9142-2024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46223</v>
      </c>
      <c r="F386" t="inlineStr">
        <is>
          <t>JÖNKÖPINGS LÄN</t>
        </is>
      </c>
      <c r="G386" t="inlineStr">
        <is>
          <t>GISLAVED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11091-2026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46223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11092-2026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46223</v>
      </c>
      <c r="F388" t="inlineStr">
        <is>
          <t>JÖNKÖPINGS LÄN</t>
        </is>
      </c>
      <c r="G388" t="inlineStr">
        <is>
          <t>GISLAVED</t>
        </is>
      </c>
      <c r="H388" t="inlineStr">
        <is>
          <t>Kyrkan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55548-2025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46223</v>
      </c>
      <c r="F389" t="inlineStr">
        <is>
          <t>JÖNKÖPINGS LÄN</t>
        </is>
      </c>
      <c r="G389" t="inlineStr">
        <is>
          <t>GISLAVED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46223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63262-2023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46223</v>
      </c>
      <c r="F391" t="inlineStr">
        <is>
          <t>JÖNKÖPINGS LÄN</t>
        </is>
      </c>
      <c r="G391" t="inlineStr">
        <is>
          <t>GISLAVED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37080-2023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46223</v>
      </c>
      <c r="F392" t="inlineStr">
        <is>
          <t>JÖNKÖPINGS LÄN</t>
        </is>
      </c>
      <c r="G392" t="inlineStr">
        <is>
          <t>GISLAVED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46223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46223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56092-2025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46223</v>
      </c>
      <c r="F395" t="inlineStr">
        <is>
          <t>JÖNKÖPINGS LÄN</t>
        </is>
      </c>
      <c r="G395" t="inlineStr">
        <is>
          <t>GISLAVED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55851-2025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46223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46223</v>
      </c>
      <c r="F397" t="inlineStr">
        <is>
          <t>JÖNKÖPINGS LÄN</t>
        </is>
      </c>
      <c r="G397" t="inlineStr">
        <is>
          <t>GISLAVED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56237-2025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46223</v>
      </c>
      <c r="F398" t="inlineStr">
        <is>
          <t>JÖNKÖPINGS LÄN</t>
        </is>
      </c>
      <c r="G398" t="inlineStr">
        <is>
          <t>GISLAVED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56175-2025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46223</v>
      </c>
      <c r="F399" t="inlineStr">
        <is>
          <t>JÖNKÖPINGS LÄN</t>
        </is>
      </c>
      <c r="G399" t="inlineStr">
        <is>
          <t>GISLAVED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11488-2026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46223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56718-2025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46223</v>
      </c>
      <c r="F401" t="inlineStr">
        <is>
          <t>JÖNKÖPINGS LÄN</t>
        </is>
      </c>
      <c r="G401" t="inlineStr">
        <is>
          <t>GISLAVED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46223</v>
      </c>
      <c r="F402" t="inlineStr">
        <is>
          <t>JÖNKÖPINGS LÄN</t>
        </is>
      </c>
      <c r="G402" t="inlineStr">
        <is>
          <t>GISLAVED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56407-2025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46223</v>
      </c>
      <c r="F403" t="inlineStr">
        <is>
          <t>JÖNKÖPINGS LÄN</t>
        </is>
      </c>
      <c r="G403" t="inlineStr">
        <is>
          <t>GISLAVED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46223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56912-2025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46223</v>
      </c>
      <c r="F405" t="inlineStr">
        <is>
          <t>JÖNKÖPINGS LÄN</t>
        </is>
      </c>
      <c r="G405" t="inlineStr">
        <is>
          <t>GISLAVED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56902-2025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46223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56914-2025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46223</v>
      </c>
      <c r="F407" t="inlineStr">
        <is>
          <t>JÖNKÖPINGS LÄN</t>
        </is>
      </c>
      <c r="G407" t="inlineStr">
        <is>
          <t>GISLAVED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46223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46223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31776-2024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46223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56910-2025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46223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56911-2025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46223</v>
      </c>
      <c r="F412" t="inlineStr">
        <is>
          <t>JÖNKÖPINGS LÄN</t>
        </is>
      </c>
      <c r="G412" t="inlineStr">
        <is>
          <t>GISLAVED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11484-2026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46223</v>
      </c>
      <c r="F413" t="inlineStr">
        <is>
          <t>JÖNKÖPINGS LÄN</t>
        </is>
      </c>
      <c r="G413" t="inlineStr">
        <is>
          <t>GISLAVED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44559-2022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44840</v>
      </c>
      <c r="E414" s="1" t="n">
        <v>46223</v>
      </c>
      <c r="F414" t="inlineStr">
        <is>
          <t>JÖNKÖPINGS LÄN</t>
        </is>
      </c>
      <c r="G414" t="inlineStr">
        <is>
          <t>GISLAVED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46223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11194-2026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46223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46223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11767-2026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46223</v>
      </c>
      <c r="F418" t="inlineStr">
        <is>
          <t>JÖNKÖPINGS LÄN</t>
        </is>
      </c>
      <c r="G418" t="inlineStr">
        <is>
          <t>GISLAVED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17400-2024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45414</v>
      </c>
      <c r="E419" s="1" t="n">
        <v>46223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55486-2023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46223</v>
      </c>
      <c r="F420" t="inlineStr">
        <is>
          <t>JÖNKÖPINGS LÄN</t>
        </is>
      </c>
      <c r="G420" t="inlineStr">
        <is>
          <t>GISLAVED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57829-2025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46223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46223</v>
      </c>
      <c r="F422" t="inlineStr">
        <is>
          <t>JÖNKÖPINGS LÄN</t>
        </is>
      </c>
      <c r="G422" t="inlineStr">
        <is>
          <t>GISLAVED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57956-2025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45982</v>
      </c>
      <c r="E423" s="1" t="n">
        <v>46223</v>
      </c>
      <c r="F423" t="inlineStr">
        <is>
          <t>JÖNKÖPINGS LÄN</t>
        </is>
      </c>
      <c r="G423" t="inlineStr">
        <is>
          <t>GISLAVED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58648-2023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46223</v>
      </c>
      <c r="F424" t="inlineStr">
        <is>
          <t>JÖNKÖPINGS LÄN</t>
        </is>
      </c>
      <c r="G424" t="inlineStr">
        <is>
          <t>GISLAVED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11833-2026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46223</v>
      </c>
      <c r="F425" t="inlineStr">
        <is>
          <t>JÖNKÖPINGS LÄN</t>
        </is>
      </c>
      <c r="G425" t="inlineStr">
        <is>
          <t>GISLAVED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36350-2024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46223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36359-2024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45534</v>
      </c>
      <c r="E427" s="1" t="n">
        <v>46223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46223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46223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58284-2025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46223</v>
      </c>
      <c r="F430" t="inlineStr">
        <is>
          <t>JÖNKÖPINGS LÄN</t>
        </is>
      </c>
      <c r="G430" t="inlineStr">
        <is>
          <t>GISLAVED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58286-2025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46223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46223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33851-2024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46223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45425</v>
      </c>
      <c r="E434" s="1" t="n">
        <v>46223</v>
      </c>
      <c r="F434" t="inlineStr">
        <is>
          <t>JÖNKÖPINGS LÄN</t>
        </is>
      </c>
      <c r="G434" t="inlineStr">
        <is>
          <t>GISLAVED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44501</v>
      </c>
      <c r="E435" s="1" t="n">
        <v>46223</v>
      </c>
      <c r="F435" t="inlineStr">
        <is>
          <t>JÖNKÖPINGS LÄN</t>
        </is>
      </c>
      <c r="G435" t="inlineStr">
        <is>
          <t>GISLAVED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61922-2021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46223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46223</v>
      </c>
      <c r="F437" t="inlineStr">
        <is>
          <t>JÖNKÖPINGS LÄN</t>
        </is>
      </c>
      <c r="G437" t="inlineStr">
        <is>
          <t>GISLAVED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46223</v>
      </c>
      <c r="F438" t="inlineStr">
        <is>
          <t>JÖNKÖPINGS LÄN</t>
        </is>
      </c>
      <c r="G438" t="inlineStr">
        <is>
          <t>GISLAVED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57426-2022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46223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59989-2025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46223</v>
      </c>
      <c r="F440" t="inlineStr">
        <is>
          <t>JÖNKÖPINGS LÄN</t>
        </is>
      </c>
      <c r="G440" t="inlineStr">
        <is>
          <t>GISLAVED</t>
        </is>
      </c>
      <c r="H440" t="inlineStr">
        <is>
          <t>Sveaskog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14046-2026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46223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44867</v>
      </c>
      <c r="E442" s="1" t="n">
        <v>46223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46223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44651</v>
      </c>
      <c r="E444" s="1" t="n">
        <v>46223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35948-2022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44802</v>
      </c>
      <c r="E445" s="1" t="n">
        <v>46223</v>
      </c>
      <c r="F445" t="inlineStr">
        <is>
          <t>JÖNKÖPINGS LÄN</t>
        </is>
      </c>
      <c r="G445" t="inlineStr">
        <is>
          <t>GISLAVED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46223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44189-2024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46223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14047-2026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46223</v>
      </c>
      <c r="F448" t="inlineStr">
        <is>
          <t>JÖNKÖPINGS LÄN</t>
        </is>
      </c>
      <c r="G448" t="inlineStr">
        <is>
          <t>GISLAVED</t>
        </is>
      </c>
      <c r="H448" t="inlineStr">
        <is>
          <t>Kyrkan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7838-2024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46223</v>
      </c>
      <c r="F449" t="inlineStr">
        <is>
          <t>JÖNKÖPINGS LÄN</t>
        </is>
      </c>
      <c r="G449" t="inlineStr">
        <is>
          <t>GISLAVED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57436-2022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46223</v>
      </c>
      <c r="F450" t="inlineStr">
        <is>
          <t>JÖNKÖPINGS LÄN</t>
        </is>
      </c>
      <c r="G450" t="inlineStr">
        <is>
          <t>GISLAVED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51500-2023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46223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61688-2022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46223</v>
      </c>
      <c r="F452" t="inlineStr">
        <is>
          <t>JÖNKÖPINGS LÄN</t>
        </is>
      </c>
      <c r="G452" t="inlineStr">
        <is>
          <t>GISLAVED</t>
        </is>
      </c>
      <c r="H452" t="inlineStr">
        <is>
          <t>Kyrkan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46223</v>
      </c>
      <c r="F453" t="inlineStr">
        <is>
          <t>JÖNKÖPINGS LÄN</t>
        </is>
      </c>
      <c r="G453" t="inlineStr">
        <is>
          <t>GISLAVED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46008</v>
      </c>
      <c r="E454" s="1" t="n">
        <v>46223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45337</v>
      </c>
      <c r="E455" s="1" t="n">
        <v>46223</v>
      </c>
      <c r="F455" t="inlineStr">
        <is>
          <t>JÖNKÖPINGS LÄN</t>
        </is>
      </c>
      <c r="G455" t="inlineStr">
        <is>
          <t>GISLAVED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30674-2024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45495</v>
      </c>
      <c r="E456" s="1" t="n">
        <v>46223</v>
      </c>
      <c r="F456" t="inlineStr">
        <is>
          <t>JÖNKÖPINGS LÄN</t>
        </is>
      </c>
      <c r="G456" t="inlineStr">
        <is>
          <t>GISLAVED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11516-2025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46223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11517-2025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46223</v>
      </c>
      <c r="F458" t="inlineStr">
        <is>
          <t>JÖNKÖPINGS LÄN</t>
        </is>
      </c>
      <c r="G458" t="inlineStr">
        <is>
          <t>GISLAVED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63049-2025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46223</v>
      </c>
      <c r="F459" t="inlineStr">
        <is>
          <t>JÖNKÖPINGS LÄN</t>
        </is>
      </c>
      <c r="G459" t="inlineStr">
        <is>
          <t>GISLAVED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46223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46223</v>
      </c>
      <c r="F461" t="inlineStr">
        <is>
          <t>JÖNKÖPINGS LÄN</t>
        </is>
      </c>
      <c r="G461" t="inlineStr">
        <is>
          <t>GISLAVED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62942-2025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46223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63062-2025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46223</v>
      </c>
      <c r="F463" t="inlineStr">
        <is>
          <t>JÖNKÖPINGS LÄN</t>
        </is>
      </c>
      <c r="G463" t="inlineStr">
        <is>
          <t>GISLAVED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63068-2025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46223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63069-2025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46223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63011-2025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46223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46223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46223</v>
      </c>
      <c r="F468" t="inlineStr">
        <is>
          <t>JÖNKÖPINGS LÄN</t>
        </is>
      </c>
      <c r="G468" t="inlineStr">
        <is>
          <t>GISLAVED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46223</v>
      </c>
      <c r="F469" t="inlineStr">
        <is>
          <t>JÖNKÖPINGS LÄN</t>
        </is>
      </c>
      <c r="G469" t="inlineStr">
        <is>
          <t>GISLAVED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46223</v>
      </c>
      <c r="F470" t="inlineStr">
        <is>
          <t>JÖNKÖPINGS LÄN</t>
        </is>
      </c>
      <c r="G470" t="inlineStr">
        <is>
          <t>GISLAVED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63071-2025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46223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7509-2023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44971</v>
      </c>
      <c r="E472" s="1" t="n">
        <v>46223</v>
      </c>
      <c r="F472" t="inlineStr">
        <is>
          <t>JÖNKÖPINGS LÄN</t>
        </is>
      </c>
      <c r="G472" t="inlineStr">
        <is>
          <t>GISLAVED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7510-2023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46223</v>
      </c>
      <c r="F473" t="inlineStr">
        <is>
          <t>JÖNKÖPINGS LÄN</t>
        </is>
      </c>
      <c r="G473" t="inlineStr">
        <is>
          <t>GISLAVED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46223</v>
      </c>
      <c r="F474" t="inlineStr">
        <is>
          <t>JÖNKÖPINGS LÄN</t>
        </is>
      </c>
      <c r="G474" t="inlineStr">
        <is>
          <t>GISLAVED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14915-2026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46223</v>
      </c>
      <c r="F475" t="inlineStr">
        <is>
          <t>JÖNKÖPINGS LÄN</t>
        </is>
      </c>
      <c r="G475" t="inlineStr">
        <is>
          <t>GISLAVED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46223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14894-2026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46223</v>
      </c>
      <c r="F477" t="inlineStr">
        <is>
          <t>JÖNKÖPINGS LÄN</t>
        </is>
      </c>
      <c r="G477" t="inlineStr">
        <is>
          <t>GISLAVED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58389-2023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46223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24710-2023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46223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73551-2021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44551</v>
      </c>
      <c r="E480" s="1" t="n">
        <v>46223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15683-2026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46223</v>
      </c>
      <c r="F481" t="inlineStr">
        <is>
          <t>JÖNKÖPINGS LÄN</t>
        </is>
      </c>
      <c r="G481" t="inlineStr">
        <is>
          <t>GISLAVED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15684-2026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46223</v>
      </c>
      <c r="F482" t="inlineStr">
        <is>
          <t>JÖNKÖPINGS LÄN</t>
        </is>
      </c>
      <c r="G482" t="inlineStr">
        <is>
          <t>GISLAVED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15368-2026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46223</v>
      </c>
      <c r="F483" t="inlineStr">
        <is>
          <t>JÖNKÖPINGS LÄN</t>
        </is>
      </c>
      <c r="G483" t="inlineStr">
        <is>
          <t>GISLAVED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73908-2021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44553</v>
      </c>
      <c r="E484" s="1" t="n">
        <v>46223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46223</v>
      </c>
      <c r="F485" t="inlineStr">
        <is>
          <t>JÖNKÖPINGS LÄN</t>
        </is>
      </c>
      <c r="G485" t="inlineStr">
        <is>
          <t>GISLAVED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46223</v>
      </c>
      <c r="F486" t="inlineStr">
        <is>
          <t>JÖNKÖPINGS LÄN</t>
        </is>
      </c>
      <c r="G486" t="inlineStr">
        <is>
          <t>GISLAVED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46223</v>
      </c>
      <c r="F487" t="inlineStr">
        <is>
          <t>JÖNKÖPINGS LÄN</t>
        </is>
      </c>
      <c r="G487" t="inlineStr">
        <is>
          <t>GISLAVED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46223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60261-2022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44910</v>
      </c>
      <c r="E489" s="1" t="n">
        <v>46223</v>
      </c>
      <c r="F489" t="inlineStr">
        <is>
          <t>JÖNKÖPINGS LÄN</t>
        </is>
      </c>
      <c r="G489" t="inlineStr">
        <is>
          <t>GISLAVED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41288-2024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46223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2194-2026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46036</v>
      </c>
      <c r="E491" s="1" t="n">
        <v>46223</v>
      </c>
      <c r="F491" t="inlineStr">
        <is>
          <t>JÖNKÖPINGS LÄN</t>
        </is>
      </c>
      <c r="G491" t="inlineStr">
        <is>
          <t>GISLAVED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45104</v>
      </c>
      <c r="E492" s="1" t="n">
        <v>46223</v>
      </c>
      <c r="F492" t="inlineStr">
        <is>
          <t>JÖNKÖPINGS LÄN</t>
        </is>
      </c>
      <c r="G492" t="inlineStr">
        <is>
          <t>GISLAVED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21312-2023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46223</v>
      </c>
      <c r="F493" t="inlineStr">
        <is>
          <t>JÖNKÖPINGS LÄN</t>
        </is>
      </c>
      <c r="G493" t="inlineStr">
        <is>
          <t>GISLAVED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45337</v>
      </c>
      <c r="E494" s="1" t="n">
        <v>46223</v>
      </c>
      <c r="F494" t="inlineStr">
        <is>
          <t>JÖNKÖPINGS LÄN</t>
        </is>
      </c>
      <c r="G494" t="inlineStr">
        <is>
          <t>GISLAVED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15973-2026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46223</v>
      </c>
      <c r="F495" t="inlineStr">
        <is>
          <t>JÖNKÖPINGS LÄN</t>
        </is>
      </c>
      <c r="G495" t="inlineStr">
        <is>
          <t>GISLAVED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16169-2026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46223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38214-2024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46223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50161-2022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44860</v>
      </c>
      <c r="E498" s="1" t="n">
        <v>46223</v>
      </c>
      <c r="F498" t="inlineStr">
        <is>
          <t>JÖNKÖPINGS LÄN</t>
        </is>
      </c>
      <c r="G498" t="inlineStr">
        <is>
          <t>GISLAVED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45167</v>
      </c>
      <c r="E499" s="1" t="n">
        <v>46223</v>
      </c>
      <c r="F499" t="inlineStr">
        <is>
          <t>JÖNKÖPINGS LÄN</t>
        </is>
      </c>
      <c r="G499" t="inlineStr">
        <is>
          <t>GISLAVED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29151-2024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45482</v>
      </c>
      <c r="E500" s="1" t="n">
        <v>46223</v>
      </c>
      <c r="F500" t="inlineStr">
        <is>
          <t>JÖNKÖPINGS LÄN</t>
        </is>
      </c>
      <c r="G500" t="inlineStr">
        <is>
          <t>GISLAVED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28555-2024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46223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53645-2024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45615</v>
      </c>
      <c r="E502" s="1" t="n">
        <v>46223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58955-2021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46223</v>
      </c>
      <c r="F503" t="inlineStr">
        <is>
          <t>JÖNKÖPINGS LÄN</t>
        </is>
      </c>
      <c r="G503" t="inlineStr">
        <is>
          <t>GISLAVED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45666</v>
      </c>
      <c r="E504" s="1" t="n">
        <v>46223</v>
      </c>
      <c r="F504" t="inlineStr">
        <is>
          <t>JÖNKÖPINGS LÄN</t>
        </is>
      </c>
      <c r="G504" t="inlineStr">
        <is>
          <t>GISLAVED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46223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10366-2024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46223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54223-2024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46223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74259-2021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44558</v>
      </c>
      <c r="E508" s="1" t="n">
        <v>46223</v>
      </c>
      <c r="F508" t="inlineStr">
        <is>
          <t>JÖNKÖPINGS LÄN</t>
        </is>
      </c>
      <c r="G508" t="inlineStr">
        <is>
          <t>GISLAVED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46223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7180-2025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45702</v>
      </c>
      <c r="E510" s="1" t="n">
        <v>46223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60966-2021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46223</v>
      </c>
      <c r="F511" t="inlineStr">
        <is>
          <t>JÖNKÖPINGS LÄN</t>
        </is>
      </c>
      <c r="G511" t="inlineStr">
        <is>
          <t>GISLAVED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42983-2023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45177</v>
      </c>
      <c r="E512" s="1" t="n">
        <v>46223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46223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37885-2024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45544</v>
      </c>
      <c r="E514" s="1" t="n">
        <v>46223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45484</v>
      </c>
      <c r="E515" s="1" t="n">
        <v>46223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46956-2024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45585</v>
      </c>
      <c r="E516" s="1" t="n">
        <v>46223</v>
      </c>
      <c r="F516" t="inlineStr">
        <is>
          <t>JÖNKÖPINGS LÄN</t>
        </is>
      </c>
      <c r="G516" t="inlineStr">
        <is>
          <t>GISLAVED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31795-2024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45509</v>
      </c>
      <c r="E517" s="1" t="n">
        <v>46223</v>
      </c>
      <c r="F517" t="inlineStr">
        <is>
          <t>JÖNKÖPINGS LÄN</t>
        </is>
      </c>
      <c r="G517" t="inlineStr">
        <is>
          <t>GISLAVED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28318-2025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46223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46223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46223</v>
      </c>
      <c r="F520" t="inlineStr">
        <is>
          <t>JÖNKÖPINGS LÄN</t>
        </is>
      </c>
      <c r="G520" t="inlineStr">
        <is>
          <t>GISLAVED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19898-2023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46223</v>
      </c>
      <c r="F521" t="inlineStr">
        <is>
          <t>JÖNKÖPINGS LÄN</t>
        </is>
      </c>
      <c r="G521" t="inlineStr">
        <is>
          <t>GISLAVED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47891-2023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46223</v>
      </c>
      <c r="F522" t="inlineStr">
        <is>
          <t>JÖNKÖPINGS LÄN</t>
        </is>
      </c>
      <c r="G522" t="inlineStr">
        <is>
          <t>GISLAVED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57228-2024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46223</v>
      </c>
      <c r="F523" t="inlineStr">
        <is>
          <t>JÖNKÖPINGS LÄN</t>
        </is>
      </c>
      <c r="G523" t="inlineStr">
        <is>
          <t>GISLAVED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46223</v>
      </c>
      <c r="F524" t="inlineStr">
        <is>
          <t>JÖNKÖPINGS LÄN</t>
        </is>
      </c>
      <c r="G524" t="inlineStr">
        <is>
          <t>GISLAVED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10186-2025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46223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10188-2025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46223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2157-2022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46223</v>
      </c>
      <c r="F527" t="inlineStr">
        <is>
          <t>JÖNKÖPINGS LÄN</t>
        </is>
      </c>
      <c r="G527" t="inlineStr">
        <is>
          <t>GISLAVED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45503</v>
      </c>
      <c r="E528" s="1" t="n">
        <v>46223</v>
      </c>
      <c r="F528" t="inlineStr">
        <is>
          <t>JÖNKÖPINGS LÄN</t>
        </is>
      </c>
      <c r="G528" t="inlineStr">
        <is>
          <t>GISLAVED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45804</v>
      </c>
      <c r="E529" s="1" t="n">
        <v>46223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4660-2024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46223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46223</v>
      </c>
      <c r="F531" t="inlineStr">
        <is>
          <t>JÖNKÖPINGS LÄN</t>
        </is>
      </c>
      <c r="G531" t="inlineStr">
        <is>
          <t>GISLAVED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60077-2023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46223</v>
      </c>
      <c r="F532" t="inlineStr">
        <is>
          <t>JÖNKÖPINGS LÄN</t>
        </is>
      </c>
      <c r="G532" t="inlineStr">
        <is>
          <t>GISLAVED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38256-2024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46223</v>
      </c>
      <c r="F533" t="inlineStr">
        <is>
          <t>JÖNKÖPINGS LÄN</t>
        </is>
      </c>
      <c r="G533" t="inlineStr">
        <is>
          <t>GISLAVED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58531-2021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44488</v>
      </c>
      <c r="E534" s="1" t="n">
        <v>46223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26153-2026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46223</v>
      </c>
      <c r="F535" t="inlineStr">
        <is>
          <t>JÖNKÖPINGS LÄN</t>
        </is>
      </c>
      <c r="G535" t="inlineStr">
        <is>
          <t>GISLAVED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15462-2022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46223</v>
      </c>
      <c r="F536" t="inlineStr">
        <is>
          <t>JÖNKÖPINGS LÄN</t>
        </is>
      </c>
      <c r="G536" t="inlineStr">
        <is>
          <t>GISLAVED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39014-2025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45888</v>
      </c>
      <c r="E537" s="1" t="n">
        <v>46223</v>
      </c>
      <c r="F537" t="inlineStr">
        <is>
          <t>JÖNKÖPINGS LÄN</t>
        </is>
      </c>
      <c r="G537" t="inlineStr">
        <is>
          <t>GISLAVED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26150-2026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46223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44606</v>
      </c>
      <c r="E539" s="1" t="n">
        <v>46223</v>
      </c>
      <c r="F539" t="inlineStr">
        <is>
          <t>JÖNKÖPINGS LÄN</t>
        </is>
      </c>
      <c r="G539" t="inlineStr">
        <is>
          <t>GISLAVED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12453-2025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46223</v>
      </c>
      <c r="F540" t="inlineStr">
        <is>
          <t>JÖNKÖPINGS LÄN</t>
        </is>
      </c>
      <c r="G540" t="inlineStr">
        <is>
          <t>GISLAVED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46223</v>
      </c>
      <c r="F541" t="inlineStr">
        <is>
          <t>JÖNKÖPINGS LÄN</t>
        </is>
      </c>
      <c r="G541" t="inlineStr">
        <is>
          <t>GISLAVED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5288-2022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44594</v>
      </c>
      <c r="E542" s="1" t="n">
        <v>46223</v>
      </c>
      <c r="F542" t="inlineStr">
        <is>
          <t>JÖNKÖPINGS LÄN</t>
        </is>
      </c>
      <c r="G542" t="inlineStr">
        <is>
          <t>GISLAVED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28402-2023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45100</v>
      </c>
      <c r="E543" s="1" t="n">
        <v>46223</v>
      </c>
      <c r="F543" t="inlineStr">
        <is>
          <t>JÖNKÖPINGS LÄN</t>
        </is>
      </c>
      <c r="G543" t="inlineStr">
        <is>
          <t>GISLAVED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53311-2024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45614</v>
      </c>
      <c r="E544" s="1" t="n">
        <v>46223</v>
      </c>
      <c r="F544" t="inlineStr">
        <is>
          <t>JÖNKÖPINGS LÄN</t>
        </is>
      </c>
      <c r="G544" t="inlineStr">
        <is>
          <t>GISLAVED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53801-2023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45231</v>
      </c>
      <c r="E545" s="1" t="n">
        <v>46223</v>
      </c>
      <c r="F545" t="inlineStr">
        <is>
          <t>JÖNKÖPINGS LÄN</t>
        </is>
      </c>
      <c r="G545" t="inlineStr">
        <is>
          <t>GISLAVED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28179-2025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45818</v>
      </c>
      <c r="E546" s="1" t="n">
        <v>46223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7369-2024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45345</v>
      </c>
      <c r="E547" s="1" t="n">
        <v>46223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15700-2024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46223</v>
      </c>
      <c r="F548" t="inlineStr">
        <is>
          <t>JÖNKÖPINGS LÄN</t>
        </is>
      </c>
      <c r="G548" t="inlineStr">
        <is>
          <t>GISLAVED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15708-2024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45404</v>
      </c>
      <c r="E549" s="1" t="n">
        <v>46223</v>
      </c>
      <c r="F549" t="inlineStr">
        <is>
          <t>JÖNKÖPINGS LÄN</t>
        </is>
      </c>
      <c r="G549" t="inlineStr">
        <is>
          <t>GISLAVED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51835-2024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45607</v>
      </c>
      <c r="E550" s="1" t="n">
        <v>46223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26152-2026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46223</v>
      </c>
      <c r="F551" t="inlineStr">
        <is>
          <t>JÖNKÖPINGS LÄN</t>
        </is>
      </c>
      <c r="G551" t="inlineStr">
        <is>
          <t>GISLAVED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48931-2025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46223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47215-2025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46223</v>
      </c>
      <c r="F553" t="inlineStr">
        <is>
          <t>JÖNKÖPINGS LÄN</t>
        </is>
      </c>
      <c r="G553" t="inlineStr">
        <is>
          <t>GISLAVED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45675</v>
      </c>
      <c r="E554" s="1" t="n">
        <v>46223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8182-2025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46223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37592-2025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46223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57007-2023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46223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7167-2025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45702</v>
      </c>
      <c r="E558" s="1" t="n">
        <v>46223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21756-2025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46223</v>
      </c>
      <c r="F559" t="inlineStr">
        <is>
          <t>JÖNKÖPINGS LÄN</t>
        </is>
      </c>
      <c r="G559" t="inlineStr">
        <is>
          <t>GISLAVED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56089-2024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46223</v>
      </c>
      <c r="F560" t="inlineStr">
        <is>
          <t>JÖNKÖPINGS LÄN</t>
        </is>
      </c>
      <c r="G560" t="inlineStr">
        <is>
          <t>GISLAVED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35032-2025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46223</v>
      </c>
      <c r="F561" t="inlineStr">
        <is>
          <t>JÖNKÖPINGS LÄN</t>
        </is>
      </c>
      <c r="G561" t="inlineStr">
        <is>
          <t>GISLAVED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46223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46223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15048-2022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46223</v>
      </c>
      <c r="F564" t="inlineStr">
        <is>
          <t>JÖNKÖPINGS LÄN</t>
        </is>
      </c>
      <c r="G564" t="inlineStr">
        <is>
          <t>GISLAVED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32114-2024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45511</v>
      </c>
      <c r="E565" s="1" t="n">
        <v>46223</v>
      </c>
      <c r="F565" t="inlineStr">
        <is>
          <t>JÖNKÖPINGS LÄN</t>
        </is>
      </c>
      <c r="G565" t="inlineStr">
        <is>
          <t>GISLAVED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60346-2023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46223</v>
      </c>
      <c r="F566" t="inlineStr">
        <is>
          <t>JÖNKÖPINGS LÄN</t>
        </is>
      </c>
      <c r="G566" t="inlineStr">
        <is>
          <t>GISLAVED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60287-2024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46223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6126-2025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45698</v>
      </c>
      <c r="E568" s="1" t="n">
        <v>46223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49490-2023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46223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26218-2022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44735</v>
      </c>
      <c r="E570" s="1" t="n">
        <v>46223</v>
      </c>
      <c r="F570" t="inlineStr">
        <is>
          <t>JÖNKÖPINGS LÄN</t>
        </is>
      </c>
      <c r="G570" t="inlineStr">
        <is>
          <t>GISLAVED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44776</v>
      </c>
      <c r="E571" s="1" t="n">
        <v>46223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21904-2022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44711</v>
      </c>
      <c r="E572" s="1" t="n">
        <v>46223</v>
      </c>
      <c r="F572" t="inlineStr">
        <is>
          <t>JÖNKÖPINGS LÄN</t>
        </is>
      </c>
      <c r="G572" t="inlineStr">
        <is>
          <t>GISLAVED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42651-2023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46223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46162-2024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45581</v>
      </c>
      <c r="E574" s="1" t="n">
        <v>46223</v>
      </c>
      <c r="F574" t="inlineStr">
        <is>
          <t>JÖNKÖPINGS LÄN</t>
        </is>
      </c>
      <c r="G574" t="inlineStr">
        <is>
          <t>GISLAVED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49790-2023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45212</v>
      </c>
      <c r="E575" s="1" t="n">
        <v>46223</v>
      </c>
      <c r="F575" t="inlineStr">
        <is>
          <t>JÖNKÖPINGS LÄN</t>
        </is>
      </c>
      <c r="G575" t="inlineStr">
        <is>
          <t>GISLAVED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38201-2025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46223</v>
      </c>
      <c r="F576" t="inlineStr">
        <is>
          <t>JÖNKÖPINGS LÄN</t>
        </is>
      </c>
      <c r="G576" t="inlineStr">
        <is>
          <t>GISLAVED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45213-2023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46223</v>
      </c>
      <c r="F577" t="inlineStr">
        <is>
          <t>JÖNKÖPINGS LÄN</t>
        </is>
      </c>
      <c r="G577" t="inlineStr">
        <is>
          <t>GISLAVED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60321-2022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44903</v>
      </c>
      <c r="E578" s="1" t="n">
        <v>46223</v>
      </c>
      <c r="F578" t="inlineStr">
        <is>
          <t>JÖNKÖPINGS LÄN</t>
        </is>
      </c>
      <c r="G578" t="inlineStr">
        <is>
          <t>GISLAVED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54684-2023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45235</v>
      </c>
      <c r="E579" s="1" t="n">
        <v>46223</v>
      </c>
      <c r="F579" t="inlineStr">
        <is>
          <t>JÖNKÖPINGS LÄN</t>
        </is>
      </c>
      <c r="G579" t="inlineStr">
        <is>
          <t>GISLAVED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13295-2025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45735</v>
      </c>
      <c r="E580" s="1" t="n">
        <v>46223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37641-2023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46223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30030-2023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45110</v>
      </c>
      <c r="E582" s="1" t="n">
        <v>46223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60042-2022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44909</v>
      </c>
      <c r="E583" s="1" t="n">
        <v>46223</v>
      </c>
      <c r="F583" t="inlineStr">
        <is>
          <t>JÖNKÖPINGS LÄN</t>
        </is>
      </c>
      <c r="G583" t="inlineStr">
        <is>
          <t>GISLAVED</t>
        </is>
      </c>
      <c r="H583" t="inlineStr">
        <is>
          <t>Kommuner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44739</v>
      </c>
      <c r="E584" s="1" t="n">
        <v>46223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40051-2022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44820</v>
      </c>
      <c r="E585" s="1" t="n">
        <v>46223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46223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45317</v>
      </c>
      <c r="E587" s="1" t="n">
        <v>46223</v>
      </c>
      <c r="F587" t="inlineStr">
        <is>
          <t>JÖNKÖPINGS LÄN</t>
        </is>
      </c>
      <c r="G587" t="inlineStr">
        <is>
          <t>GISLAVED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44935-2023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45190</v>
      </c>
      <c r="E588" s="1" t="n">
        <v>46223</v>
      </c>
      <c r="F588" t="inlineStr">
        <is>
          <t>JÖNKÖPINGS LÄN</t>
        </is>
      </c>
      <c r="G588" t="inlineStr">
        <is>
          <t>GISLAVED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8938-2024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46223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27213-2026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46223</v>
      </c>
      <c r="F590" t="inlineStr">
        <is>
          <t>JÖNKÖPINGS LÄN</t>
        </is>
      </c>
      <c r="G590" t="inlineStr">
        <is>
          <t>GISLAVED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27658-2026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46223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27661-2026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46223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46223</v>
      </c>
      <c r="F593" t="inlineStr">
        <is>
          <t>JÖNKÖPINGS LÄN</t>
        </is>
      </c>
      <c r="G593" t="inlineStr">
        <is>
          <t>GISLAVED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58390-2023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46223</v>
      </c>
      <c r="F594" t="inlineStr">
        <is>
          <t>JÖNKÖPINGS LÄN</t>
        </is>
      </c>
      <c r="G594" t="inlineStr">
        <is>
          <t>GISLAVED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46223</v>
      </c>
      <c r="F595" t="inlineStr">
        <is>
          <t>JÖNKÖPINGS LÄN</t>
        </is>
      </c>
      <c r="G595" t="inlineStr">
        <is>
          <t>GISLAVED</t>
        </is>
      </c>
      <c r="H595" t="inlineStr">
        <is>
          <t>Sveaskog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45163</v>
      </c>
      <c r="E596" s="1" t="n">
        <v>46223</v>
      </c>
      <c r="F596" t="inlineStr">
        <is>
          <t>JÖNKÖPINGS LÄN</t>
        </is>
      </c>
      <c r="G596" t="inlineStr">
        <is>
          <t>GISLAVED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41757-2023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46223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46223</v>
      </c>
      <c r="F598" t="inlineStr">
        <is>
          <t>JÖNKÖPINGS LÄN</t>
        </is>
      </c>
      <c r="G598" t="inlineStr">
        <is>
          <t>GISLAVED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46223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62267-2022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44923</v>
      </c>
      <c r="E600" s="1" t="n">
        <v>46223</v>
      </c>
      <c r="F600" t="inlineStr">
        <is>
          <t>JÖNKÖPINGS LÄN</t>
        </is>
      </c>
      <c r="G600" t="inlineStr">
        <is>
          <t>GISLAVED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32931-2023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45125</v>
      </c>
      <c r="E601" s="1" t="n">
        <v>46223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46223</v>
      </c>
      <c r="F602" t="inlineStr">
        <is>
          <t>JÖNKÖPINGS LÄN</t>
        </is>
      </c>
      <c r="G602" t="inlineStr">
        <is>
          <t>GISLAVED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27956-2026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46193</v>
      </c>
      <c r="E603" s="1" t="n">
        <v>46223</v>
      </c>
      <c r="F603" t="inlineStr">
        <is>
          <t>JÖNKÖPINGS LÄN</t>
        </is>
      </c>
      <c r="G603" t="inlineStr">
        <is>
          <t>GISLAVED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22159-2026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46223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46223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28081-2026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46223</v>
      </c>
      <c r="F606" t="inlineStr">
        <is>
          <t>JÖNKÖPINGS LÄN</t>
        </is>
      </c>
      <c r="G606" t="inlineStr">
        <is>
          <t>GISLAVED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46223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28030-2026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46223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28044-2026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46223</v>
      </c>
      <c r="F609" t="inlineStr">
        <is>
          <t>JÖNKÖPINGS LÄN</t>
        </is>
      </c>
      <c r="G609" t="inlineStr">
        <is>
          <t>GISLAVED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7508-2023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44971</v>
      </c>
      <c r="E610" s="1" t="n">
        <v>46223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28048-2026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46223</v>
      </c>
      <c r="F611" t="inlineStr">
        <is>
          <t>JÖNKÖPINGS LÄN</t>
        </is>
      </c>
      <c r="G611" t="inlineStr">
        <is>
          <t>GISLAVED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28049-2026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46223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46223</v>
      </c>
      <c r="F613" t="inlineStr">
        <is>
          <t>JÖNKÖPINGS LÄN</t>
        </is>
      </c>
      <c r="G613" t="inlineStr">
        <is>
          <t>GISLAVED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27996-2026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46223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27800-2025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46223</v>
      </c>
      <c r="F615" t="inlineStr">
        <is>
          <t>JÖNKÖPINGS LÄN</t>
        </is>
      </c>
      <c r="G615" t="inlineStr">
        <is>
          <t>GISLAVED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46223</v>
      </c>
      <c r="F616" t="inlineStr">
        <is>
          <t>JÖNKÖPINGS LÄN</t>
        </is>
      </c>
      <c r="G616" t="inlineStr">
        <is>
          <t>GISLAVED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22697-2026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46156</v>
      </c>
      <c r="E617" s="1" t="n">
        <v>46223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22698-2026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46223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3072-2025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45678</v>
      </c>
      <c r="E619" s="1" t="n">
        <v>46223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4279-2022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44588</v>
      </c>
      <c r="E620" s="1" t="n">
        <v>46223</v>
      </c>
      <c r="F620" t="inlineStr">
        <is>
          <t>JÖNKÖPINGS LÄN</t>
        </is>
      </c>
      <c r="G620" t="inlineStr">
        <is>
          <t>GISLAVED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4083-2023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44952</v>
      </c>
      <c r="E621" s="1" t="n">
        <v>46223</v>
      </c>
      <c r="F621" t="inlineStr">
        <is>
          <t>JÖNKÖPINGS LÄN</t>
        </is>
      </c>
      <c r="G621" t="inlineStr">
        <is>
          <t>GISLAVED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18829-2025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45764</v>
      </c>
      <c r="E622" s="1" t="n">
        <v>46223</v>
      </c>
      <c r="F622" t="inlineStr">
        <is>
          <t>JÖNKÖPINGS LÄN</t>
        </is>
      </c>
      <c r="G622" t="inlineStr">
        <is>
          <t>GISLAVED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59170-2024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46223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64812-2023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45282</v>
      </c>
      <c r="E624" s="1" t="n">
        <v>46223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22701-2026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46156</v>
      </c>
      <c r="E625" s="1" t="n">
        <v>46223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50324-2021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44456</v>
      </c>
      <c r="E626" s="1" t="n">
        <v>46223</v>
      </c>
      <c r="F626" t="inlineStr">
        <is>
          <t>JÖNKÖPINGS LÄN</t>
        </is>
      </c>
      <c r="G626" t="inlineStr">
        <is>
          <t>GISLAVED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49590-2021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44455</v>
      </c>
      <c r="E627" s="1" t="n">
        <v>46223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45891-2021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44441</v>
      </c>
      <c r="E628" s="1" t="n">
        <v>46223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22700-2026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46156</v>
      </c>
      <c r="E629" s="1" t="n">
        <v>46223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36460-2022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44803</v>
      </c>
      <c r="E630" s="1" t="n">
        <v>46223</v>
      </c>
      <c r="F630" t="inlineStr">
        <is>
          <t>JÖNKÖPINGS LÄN</t>
        </is>
      </c>
      <c r="G630" t="inlineStr">
        <is>
          <t>GISLAVED</t>
        </is>
      </c>
      <c r="H630" t="inlineStr">
        <is>
          <t>Kyrkan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61351-2022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46223</v>
      </c>
      <c r="F631" t="inlineStr">
        <is>
          <t>JÖNKÖPINGS LÄN</t>
        </is>
      </c>
      <c r="G631" t="inlineStr">
        <is>
          <t>GISLAVED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61891-2021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44502</v>
      </c>
      <c r="E632" s="1" t="n">
        <v>46223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44977</v>
      </c>
      <c r="E633" s="1" t="n">
        <v>46223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38203-2023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46223</v>
      </c>
      <c r="F634" t="inlineStr">
        <is>
          <t>JÖNKÖPINGS LÄN</t>
        </is>
      </c>
      <c r="G634" t="inlineStr">
        <is>
          <t>GISLAVED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37583-2023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45159</v>
      </c>
      <c r="E635" s="1" t="n">
        <v>46223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45590</v>
      </c>
      <c r="E636" s="1" t="n">
        <v>46223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7930-2024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45350</v>
      </c>
      <c r="E637" s="1" t="n">
        <v>46223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32108-2024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45511</v>
      </c>
      <c r="E638" s="1" t="n">
        <v>46223</v>
      </c>
      <c r="F638" t="inlineStr">
        <is>
          <t>JÖNKÖPINGS LÄN</t>
        </is>
      </c>
      <c r="G638" t="inlineStr">
        <is>
          <t>GISLAVED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46223</v>
      </c>
      <c r="F639" t="inlineStr">
        <is>
          <t>JÖNKÖPINGS LÄN</t>
        </is>
      </c>
      <c r="G639" t="inlineStr">
        <is>
          <t>GISLAVED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10125-2024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45364</v>
      </c>
      <c r="E640" s="1" t="n">
        <v>46223</v>
      </c>
      <c r="F640" t="inlineStr">
        <is>
          <t>JÖNKÖPINGS LÄN</t>
        </is>
      </c>
      <c r="G640" t="inlineStr">
        <is>
          <t>GISLAVED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49434-2024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46223</v>
      </c>
      <c r="F641" t="inlineStr">
        <is>
          <t>JÖNKÖPINGS LÄN</t>
        </is>
      </c>
      <c r="G641" t="inlineStr">
        <is>
          <t>GISLAVED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44592-2024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46223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25112-2024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45462</v>
      </c>
      <c r="E643" s="1" t="n">
        <v>46223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14221-2023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45009</v>
      </c>
      <c r="E644" s="1" t="n">
        <v>46223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49956-2021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44456</v>
      </c>
      <c r="E645" s="1" t="n">
        <v>46223</v>
      </c>
      <c r="F645" t="inlineStr">
        <is>
          <t>JÖNKÖPINGS LÄN</t>
        </is>
      </c>
      <c r="G645" t="inlineStr">
        <is>
          <t>GISLAVED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46223</v>
      </c>
      <c r="F646" t="inlineStr">
        <is>
          <t>JÖNKÖPINGS LÄN</t>
        </is>
      </c>
      <c r="G646" t="inlineStr">
        <is>
          <t>GISLAVED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29810-2026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46223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23434-2026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46163</v>
      </c>
      <c r="E648" s="1" t="n">
        <v>46223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23433-2026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46223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13915-2023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46223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42048-2023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46223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9911-2025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45717</v>
      </c>
      <c r="E652" s="1" t="n">
        <v>46223</v>
      </c>
      <c r="F652" t="inlineStr">
        <is>
          <t>JÖNKÖPINGS LÄN</t>
        </is>
      </c>
      <c r="G652" t="inlineStr">
        <is>
          <t>GISLAVED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29954-2026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46223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46223</v>
      </c>
      <c r="F654" t="inlineStr">
        <is>
          <t>JÖNKÖPINGS LÄN</t>
        </is>
      </c>
      <c r="G654" t="inlineStr">
        <is>
          <t>GISLAVED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28746-2022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44749</v>
      </c>
      <c r="E655" s="1" t="n">
        <v>46223</v>
      </c>
      <c r="F655" t="inlineStr">
        <is>
          <t>JÖNKÖPINGS LÄN</t>
        </is>
      </c>
      <c r="G655" t="inlineStr">
        <is>
          <t>GISLAVED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3279-2023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46223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24188-2026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46223</v>
      </c>
      <c r="F657" t="inlineStr">
        <is>
          <t>JÖNKÖPINGS LÄN</t>
        </is>
      </c>
      <c r="G657" t="inlineStr">
        <is>
          <t>GISLAVED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53749-2022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44880</v>
      </c>
      <c r="E658" s="1" t="n">
        <v>46223</v>
      </c>
      <c r="F658" t="inlineStr">
        <is>
          <t>JÖNKÖPINGS LÄN</t>
        </is>
      </c>
      <c r="G658" t="inlineStr">
        <is>
          <t>GISLAVED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24088-2026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46223</v>
      </c>
      <c r="F659" t="inlineStr">
        <is>
          <t>JÖNKÖPINGS LÄN</t>
        </is>
      </c>
      <c r="G659" t="inlineStr">
        <is>
          <t>GISLAVED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27399-2023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46223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56945-2022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46223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810-2023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44931</v>
      </c>
      <c r="E662" s="1" t="n">
        <v>46223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44931</v>
      </c>
      <c r="E663" s="1" t="n">
        <v>46223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8503-2025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46223</v>
      </c>
      <c r="F664" t="inlineStr">
        <is>
          <t>JÖNKÖPINGS LÄN</t>
        </is>
      </c>
      <c r="G664" t="inlineStr">
        <is>
          <t>GISLAVED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45564-2025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45922</v>
      </c>
      <c r="E665" s="1" t="n">
        <v>46223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13293-2025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46223</v>
      </c>
      <c r="F666" t="inlineStr">
        <is>
          <t>JÖNKÖPINGS LÄN</t>
        </is>
      </c>
      <c r="G666" t="inlineStr">
        <is>
          <t>GISLAVED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52025-2023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46223</v>
      </c>
      <c r="F667" t="inlineStr">
        <is>
          <t>JÖNKÖPINGS LÄN</t>
        </is>
      </c>
      <c r="G667" t="inlineStr">
        <is>
          <t>GISLAVED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19579-2025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45770</v>
      </c>
      <c r="E668" s="1" t="n">
        <v>46223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12882-2024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46223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45675</v>
      </c>
      <c r="E670" s="1" t="n">
        <v>46223</v>
      </c>
      <c r="F670" t="inlineStr">
        <is>
          <t>JÖNKÖPINGS LÄN</t>
        </is>
      </c>
      <c r="G670" t="inlineStr">
        <is>
          <t>GISLAVED</t>
        </is>
      </c>
      <c r="H670" t="inlineStr">
        <is>
          <t>Kommuner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24468-2026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46223</v>
      </c>
      <c r="F671" t="inlineStr">
        <is>
          <t>JÖNKÖPINGS LÄN</t>
        </is>
      </c>
      <c r="G671" t="inlineStr">
        <is>
          <t>GISLAVED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46223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37042-2025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45875</v>
      </c>
      <c r="E673" s="1" t="n">
        <v>46223</v>
      </c>
      <c r="F673" t="inlineStr">
        <is>
          <t>JÖNKÖPINGS LÄN</t>
        </is>
      </c>
      <c r="G673" t="inlineStr">
        <is>
          <t>GISLAVED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18833-2025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46223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31092-2026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46216</v>
      </c>
      <c r="E675" s="1" t="n">
        <v>46223</v>
      </c>
      <c r="F675" t="inlineStr">
        <is>
          <t>JÖNKÖPINGS LÄN</t>
        </is>
      </c>
      <c r="G675" t="inlineStr">
        <is>
          <t>GISLAVED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31675-2022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44776</v>
      </c>
      <c r="E676" s="1" t="n">
        <v>46223</v>
      </c>
      <c r="F676" t="inlineStr">
        <is>
          <t>JÖNKÖPINGS LÄN</t>
        </is>
      </c>
      <c r="G676" t="inlineStr">
        <is>
          <t>GISLAVED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24983-2026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46223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24923-2026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46223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28400-2023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45100</v>
      </c>
      <c r="E679" s="1" t="n">
        <v>46223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42070-2023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46223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45263-2023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45191</v>
      </c>
      <c r="E681" s="1" t="n">
        <v>46223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44742-2023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45190</v>
      </c>
      <c r="E682" s="1" t="n">
        <v>46223</v>
      </c>
      <c r="F682" t="inlineStr">
        <is>
          <t>JÖNKÖPINGS LÄN</t>
        </is>
      </c>
      <c r="G682" t="inlineStr">
        <is>
          <t>GISLAVED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48202-2021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44449</v>
      </c>
      <c r="E683" s="1" t="n">
        <v>46223</v>
      </c>
      <c r="F683" t="inlineStr">
        <is>
          <t>JÖNKÖPINGS LÄN</t>
        </is>
      </c>
      <c r="G683" t="inlineStr">
        <is>
          <t>GISLAVED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43713-2023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45187</v>
      </c>
      <c r="E684" s="1" t="n">
        <v>46223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24931-2026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46223</v>
      </c>
      <c r="F685" t="inlineStr">
        <is>
          <t>JÖNKÖPINGS LÄN</t>
        </is>
      </c>
      <c r="G685" t="inlineStr">
        <is>
          <t>GISLAVED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24984-2026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46223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46223</v>
      </c>
      <c r="F687" t="inlineStr">
        <is>
          <t>JÖNKÖPINGS LÄN</t>
        </is>
      </c>
      <c r="G687" t="inlineStr">
        <is>
          <t>GISLAVED</t>
        </is>
      </c>
      <c r="H687" t="inlineStr">
        <is>
          <t>Kommuner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24928-2026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46174</v>
      </c>
      <c r="E688" s="1" t="n">
        <v>46223</v>
      </c>
      <c r="F688" t="inlineStr">
        <is>
          <t>JÖNKÖPINGS LÄN</t>
        </is>
      </c>
      <c r="G688" t="inlineStr">
        <is>
          <t>GISLAVED</t>
        </is>
      </c>
      <c r="H688" t="inlineStr">
        <is>
          <t>Kommuner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8272-2024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45352</v>
      </c>
      <c r="E689" s="1" t="n">
        <v>46223</v>
      </c>
      <c r="F689" t="inlineStr">
        <is>
          <t>JÖNKÖPINGS LÄN</t>
        </is>
      </c>
      <c r="G689" t="inlineStr">
        <is>
          <t>GISLAVED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3439-2024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45320</v>
      </c>
      <c r="E690" s="1" t="n">
        <v>46223</v>
      </c>
      <c r="F690" t="inlineStr">
        <is>
          <t>JÖNKÖPINGS LÄN</t>
        </is>
      </c>
      <c r="G690" t="inlineStr">
        <is>
          <t>GISLAVED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31782-2024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46223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57698-2022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44883</v>
      </c>
      <c r="E692" s="1" t="n">
        <v>46223</v>
      </c>
      <c r="F692" t="inlineStr">
        <is>
          <t>JÖNKÖPINGS LÄN</t>
        </is>
      </c>
      <c r="G692" t="inlineStr">
        <is>
          <t>GISLAVED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8560-2025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45709</v>
      </c>
      <c r="E693" s="1" t="n">
        <v>46223</v>
      </c>
      <c r="F693" t="inlineStr">
        <is>
          <t>JÖNKÖPINGS LÄN</t>
        </is>
      </c>
      <c r="G693" t="inlineStr">
        <is>
          <t>GISLAVED</t>
        </is>
      </c>
      <c r="H693" t="inlineStr">
        <is>
          <t>Kommuner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8594-2025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46223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61871-2023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46223</v>
      </c>
      <c r="F695" t="inlineStr">
        <is>
          <t>JÖNKÖPINGS LÄN</t>
        </is>
      </c>
      <c r="G695" t="inlineStr">
        <is>
          <t>GISLAVED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26286-2024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45468</v>
      </c>
      <c r="E696" s="1" t="n">
        <v>46223</v>
      </c>
      <c r="F696" t="inlineStr">
        <is>
          <t>JÖNKÖPINGS LÄN</t>
        </is>
      </c>
      <c r="G696" t="inlineStr">
        <is>
          <t>GISLAVED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31888-2023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45118</v>
      </c>
      <c r="E697" s="1" t="n">
        <v>46223</v>
      </c>
      <c r="F697" t="inlineStr">
        <is>
          <t>JÖNKÖPINGS LÄN</t>
        </is>
      </c>
      <c r="G697" t="inlineStr">
        <is>
          <t>GISLAVED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817-2023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44931</v>
      </c>
      <c r="E698" s="1" t="n">
        <v>46223</v>
      </c>
      <c r="F698" t="inlineStr">
        <is>
          <t>JÖNKÖPINGS LÄN</t>
        </is>
      </c>
      <c r="G698" t="inlineStr">
        <is>
          <t>GISLAVED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10673-2022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44624</v>
      </c>
      <c r="E699" s="1" t="n">
        <v>46223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58614-2024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46223</v>
      </c>
      <c r="F700" t="inlineStr">
        <is>
          <t>JÖNKÖPINGS LÄN</t>
        </is>
      </c>
      <c r="G700" t="inlineStr">
        <is>
          <t>GISLAVED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42266-2024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45562</v>
      </c>
      <c r="E701" s="1" t="n">
        <v>46223</v>
      </c>
      <c r="F701" t="inlineStr">
        <is>
          <t>JÖNKÖPINGS LÄN</t>
        </is>
      </c>
      <c r="G701" t="inlineStr">
        <is>
          <t>GISLAVED</t>
        </is>
      </c>
      <c r="H701" t="inlineStr">
        <is>
          <t>Kyrkan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4282-2022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44588</v>
      </c>
      <c r="E702" s="1" t="n">
        <v>46223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3840-2025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45682</v>
      </c>
      <c r="E703" s="1" t="n">
        <v>46223</v>
      </c>
      <c r="F703" t="inlineStr">
        <is>
          <t>JÖNKÖPINGS LÄN</t>
        </is>
      </c>
      <c r="G703" t="inlineStr">
        <is>
          <t>GISLAVED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49801-2023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45212</v>
      </c>
      <c r="E704" s="1" t="n">
        <v>46223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45672</v>
      </c>
      <c r="E705" s="1" t="n">
        <v>46223</v>
      </c>
      <c r="F705" t="inlineStr">
        <is>
          <t>JÖNKÖPINGS LÄN</t>
        </is>
      </c>
      <c r="G705" t="inlineStr">
        <is>
          <t>GISLAVED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51087-2024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46223</v>
      </c>
      <c r="F706" t="inlineStr">
        <is>
          <t>JÖNKÖPINGS LÄN</t>
        </is>
      </c>
      <c r="G706" t="inlineStr">
        <is>
          <t>GISLAVED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51099-2024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46223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44945</v>
      </c>
      <c r="E708" s="1" t="n">
        <v>46223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29625-2024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45484</v>
      </c>
      <c r="E709" s="1" t="n">
        <v>46223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20885-2025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45777</v>
      </c>
      <c r="E710" s="1" t="n">
        <v>46223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21994-2025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45784</v>
      </c>
      <c r="E711" s="1" t="n">
        <v>46223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10386-2024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45365</v>
      </c>
      <c r="E712" s="1" t="n">
        <v>46223</v>
      </c>
      <c r="F712" t="inlineStr">
        <is>
          <t>JÖNKÖPINGS LÄN</t>
        </is>
      </c>
      <c r="G712" t="inlineStr">
        <is>
          <t>GISLAVED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21995-2025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46223</v>
      </c>
      <c r="F713" t="inlineStr">
        <is>
          <t>JÖNKÖPINGS LÄN</t>
        </is>
      </c>
      <c r="G713" t="inlineStr">
        <is>
          <t>GISLAVED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56177-2024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46223</v>
      </c>
      <c r="F714" t="inlineStr">
        <is>
          <t>JÖNKÖPINGS LÄN</t>
        </is>
      </c>
      <c r="G714" t="inlineStr">
        <is>
          <t>GISLAVED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59804-2024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46223</v>
      </c>
      <c r="F715" t="inlineStr">
        <is>
          <t>JÖNKÖPINGS LÄN</t>
        </is>
      </c>
      <c r="G715" t="inlineStr">
        <is>
          <t>GISLAVED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59208-2024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46223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32110-2024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45511</v>
      </c>
      <c r="E717" s="1" t="n">
        <v>46223</v>
      </c>
      <c r="F717" t="inlineStr">
        <is>
          <t>JÖNKÖPINGS LÄN</t>
        </is>
      </c>
      <c r="G717" t="inlineStr">
        <is>
          <t>GISLAVED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45678</v>
      </c>
      <c r="E718" s="1" t="n">
        <v>46223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30037-2024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46223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52233-2022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44873</v>
      </c>
      <c r="E720" s="1" t="n">
        <v>46223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8481-2023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44977</v>
      </c>
      <c r="E721" s="1" t="n">
        <v>46223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41281-2024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45559</v>
      </c>
      <c r="E722" s="1" t="n">
        <v>46223</v>
      </c>
      <c r="F722" t="inlineStr">
        <is>
          <t>JÖNKÖPINGS LÄN</t>
        </is>
      </c>
      <c r="G722" t="inlineStr">
        <is>
          <t>GISLAVED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29056-2024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45481</v>
      </c>
      <c r="E723" s="1" t="n">
        <v>46223</v>
      </c>
      <c r="F723" t="inlineStr">
        <is>
          <t>JÖNKÖPINGS LÄN</t>
        </is>
      </c>
      <c r="G723" t="inlineStr">
        <is>
          <t>GISLAVED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23660-2025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45792</v>
      </c>
      <c r="E724" s="1" t="n">
        <v>46223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24122-2025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45796</v>
      </c>
      <c r="E725" s="1" t="n">
        <v>46223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39654-2024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45552</v>
      </c>
      <c r="E726" s="1" t="n">
        <v>46223</v>
      </c>
      <c r="F726" t="inlineStr">
        <is>
          <t>JÖNKÖPINGS LÄN</t>
        </is>
      </c>
      <c r="G726" t="inlineStr">
        <is>
          <t>GISLAVED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12152-2025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45729</v>
      </c>
      <c r="E727" s="1" t="n">
        <v>46223</v>
      </c>
      <c r="F727" t="inlineStr">
        <is>
          <t>JÖNKÖPINGS LÄN</t>
        </is>
      </c>
      <c r="G727" t="inlineStr">
        <is>
          <t>GISLAVED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12458-2025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45730</v>
      </c>
      <c r="E728" s="1" t="n">
        <v>46223</v>
      </c>
      <c r="F728" t="inlineStr">
        <is>
          <t>JÖNKÖPINGS LÄN</t>
        </is>
      </c>
      <c r="G728" t="inlineStr">
        <is>
          <t>GISLAVED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30602-2024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45494</v>
      </c>
      <c r="E729" s="1" t="n">
        <v>46223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11731-2025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46223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11912-2025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45728</v>
      </c>
      <c r="E731" s="1" t="n">
        <v>46223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11905-2025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45728</v>
      </c>
      <c r="E732" s="1" t="n">
        <v>46223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46223</v>
      </c>
      <c r="F733" t="inlineStr">
        <is>
          <t>JÖNKÖPINGS LÄN</t>
        </is>
      </c>
      <c r="G733" t="inlineStr">
        <is>
          <t>GISLAVED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11792-2025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46223</v>
      </c>
      <c r="F734" t="inlineStr">
        <is>
          <t>JÖNKÖPINGS LÄN</t>
        </is>
      </c>
      <c r="G734" t="inlineStr">
        <is>
          <t>GISLAVED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14317-2025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45740</v>
      </c>
      <c r="E735" s="1" t="n">
        <v>46223</v>
      </c>
      <c r="F735" t="inlineStr">
        <is>
          <t>JÖNKÖPINGS LÄN</t>
        </is>
      </c>
      <c r="G735" t="inlineStr">
        <is>
          <t>GISLAVED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13311-2025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46223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12743-2025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45733</v>
      </c>
      <c r="E737" s="1" t="n">
        <v>46223</v>
      </c>
      <c r="F737" t="inlineStr">
        <is>
          <t>JÖNKÖPINGS LÄN</t>
        </is>
      </c>
      <c r="G737" t="inlineStr">
        <is>
          <t>GISLAVED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12746-2025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45733</v>
      </c>
      <c r="E738" s="1" t="n">
        <v>46223</v>
      </c>
      <c r="F738" t="inlineStr">
        <is>
          <t>JÖNKÖPINGS LÄN</t>
        </is>
      </c>
      <c r="G738" t="inlineStr">
        <is>
          <t>GISLAVED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24905-2025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45799</v>
      </c>
      <c r="E739" s="1" t="n">
        <v>46223</v>
      </c>
      <c r="F739" t="inlineStr">
        <is>
          <t>JÖNKÖPINGS LÄN</t>
        </is>
      </c>
      <c r="G739" t="inlineStr">
        <is>
          <t>GISLAVED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25966-2025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45804</v>
      </c>
      <c r="E740" s="1" t="n">
        <v>46223</v>
      </c>
      <c r="F740" t="inlineStr">
        <is>
          <t>JÖNKÖPINGS LÄN</t>
        </is>
      </c>
      <c r="G740" t="inlineStr">
        <is>
          <t>GISLAVED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25967-2025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46223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25498-2025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46223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46223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46223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46223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46223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46223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46223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46223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46223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46223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46223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46223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46223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46223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46223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46223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46223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46223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46223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46223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46223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46223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46223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46223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46223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46223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46223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46223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46223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46223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46223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46223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46223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46223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46223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2026-07-20T01:49:51Z</dcterms:created>
  <dcterms:modified xmlns:dcterms="http://purl.org/dc/terms/" xmlns:xsi="http://www.w3.org/2001/XMLSchema-instance" xsi:type="dcterms:W3CDTF">2026-07-20T01:49:52Z</dcterms:modified>
</cp:coreProperties>
</file>