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46249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46249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46249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46249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46249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46249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46249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46249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46249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46249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46249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46249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46249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46249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46249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6546-2025 artfynd.xlsx", "A 6546-2025")</f>
        <v/>
      </c>
      <c r="X17">
        <f>HYPERLINK("https://klasma.github.io/Logging_0662/kartor/A 6546-2025 karta.png", "A 6546-2025")</f>
        <v/>
      </c>
      <c r="Y17">
        <f>HYPERLINK("https://klasma.github.io/Logging_0662/kartor_geotiff/A 6546-2025 georefererad karta.tif", "A 6546-2025")</f>
        <v/>
      </c>
      <c r="AA17">
        <f>HYPERLINK("https://klasma.github.io/Logging_0662/klagomål/A 6546-2025 FSC-klagomål.docx", "A 6546-2025")</f>
        <v/>
      </c>
      <c r="AB17">
        <f>HYPERLINK("https://klasma.github.io/Logging_0662/klagomålsmail/A 6546-2025 FSC-klagomål mail.docx", "A 6546-2025")</f>
        <v/>
      </c>
      <c r="AC17">
        <f>HYPERLINK("https://klasma.github.io/Logging_0662/tillsyn/A 6546-2025 tillsynsbegäran.docx", "A 6546-2025")</f>
        <v/>
      </c>
      <c r="AD17">
        <f>HYPERLINK("https://klasma.github.io/Logging_0662/tillsynsmail/A 6546-2025 tillsynsbegäran mail.docx", "A 6546-2025")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46249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46249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46249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27358-2022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46249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HYPERLINK("https://klasma.github.io/Logging_0662/artfynd/A 27358-2022 artfynd.xlsx", "A 27358-2022")</f>
        <v/>
      </c>
      <c r="X21">
        <f>HYPERLINK("https://klasma.github.io/Logging_0662/kartor/A 27358-2022 karta.png", "A 27358-2022")</f>
        <v/>
      </c>
      <c r="Y21">
        <f>HYPERLINK("https://klasma.github.io/Logging_0662/kartor_geotiff/A 27358-2022 georefererad karta.tif", "A 27358-2022")</f>
        <v/>
      </c>
      <c r="AA21">
        <f>HYPERLINK("https://klasma.github.io/Logging_0662/klagomål/A 27358-2022 FSC-klagomål.docx", "A 27358-2022")</f>
        <v/>
      </c>
      <c r="AB21">
        <f>HYPERLINK("https://klasma.github.io/Logging_0662/klagomålsmail/A 27358-2022 FSC-klagomål mail.docx", "A 27358-2022")</f>
        <v/>
      </c>
      <c r="AC21">
        <f>HYPERLINK("https://klasma.github.io/Logging_0662/tillsyn/A 27358-2022 tillsynsbegäran.docx", "A 27358-2022")</f>
        <v/>
      </c>
      <c r="AD21">
        <f>HYPERLINK("https://klasma.github.io/Logging_0662/tillsynsmail/A 27358-2022 tillsynsbegäran mail.docx", "A 27358-2022")</f>
        <v/>
      </c>
    </row>
    <row r="22" ht="15" customHeight="1">
      <c r="A22" t="inlineStr">
        <is>
          <t>A 40023-2024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45553</v>
      </c>
      <c r="E22" s="1" t="n">
        <v>46249</v>
      </c>
      <c r="F22" t="inlineStr">
        <is>
          <t>JÖNKÖPINGS LÄN</t>
        </is>
      </c>
      <c r="G22" t="inlineStr">
        <is>
          <t>GISLAVED</t>
        </is>
      </c>
      <c r="I22" t="n">
        <v>9.4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Kungsörn</t>
        </is>
      </c>
      <c r="W22">
        <f>HYPERLINK("https://klasma.github.io/Logging_0662/artfynd/A 40023-2024 artfynd.xlsx", "A 40023-2024")</f>
        <v/>
      </c>
      <c r="X22">
        <f>HYPERLINK("https://klasma.github.io/Logging_0662/kartor/A 40023-2024 karta.png", "A 40023-2024")</f>
        <v/>
      </c>
      <c r="Y22">
        <f>HYPERLINK("https://klasma.github.io/Logging_0662/kartor_geotiff/A 40023-2024 georefererad karta.tif", "A 40023-2024")</f>
        <v/>
      </c>
      <c r="AA22">
        <f>HYPERLINK("https://klasma.github.io/Logging_0662/klagomål/A 40023-2024 FSC-klagomål.docx", "A 40023-2024")</f>
        <v/>
      </c>
      <c r="AB22">
        <f>HYPERLINK("https://klasma.github.io/Logging_0662/klagomålsmail/A 40023-2024 FSC-klagomål mail.docx", "A 40023-2024")</f>
        <v/>
      </c>
      <c r="AC22">
        <f>HYPERLINK("https://klasma.github.io/Logging_0662/tillsyn/A 40023-2024 tillsynsbegäran.docx", "A 40023-2024")</f>
        <v/>
      </c>
      <c r="AD22">
        <f>HYPERLINK("https://klasma.github.io/Logging_0662/tillsynsmail/A 40023-2024 tillsynsbegäran mail.docx", "A 40023-2024")</f>
        <v/>
      </c>
      <c r="AE22">
        <f>HYPERLINK("https://klasma.github.io/Logging_0662/fåglar/A 40023-2024 prioriterade fågelarter.docx", "A 40023-2024")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46249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46249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46249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46249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46249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6545-2025 artfynd.xlsx", "A 6545-2025")</f>
        <v/>
      </c>
      <c r="X27">
        <f>HYPERLINK("https://klasma.github.io/Logging_0662/kartor/A 6545-2025 karta.png", "A 6545-2025")</f>
        <v/>
      </c>
      <c r="Y27">
        <f>HYPERLINK("https://klasma.github.io/Logging_0662/kartor_geotiff/A 6545-2025 georefererad karta.tif", "A 6545-2025")</f>
        <v/>
      </c>
      <c r="AA27">
        <f>HYPERLINK("https://klasma.github.io/Logging_0662/klagomål/A 6545-2025 FSC-klagomål.docx", "A 6545-2025")</f>
        <v/>
      </c>
      <c r="AB27">
        <f>HYPERLINK("https://klasma.github.io/Logging_0662/klagomålsmail/A 6545-2025 FSC-klagomål mail.docx", "A 6545-2025")</f>
        <v/>
      </c>
      <c r="AC27">
        <f>HYPERLINK("https://klasma.github.io/Logging_0662/tillsyn/A 6545-2025 tillsynsbegäran.docx", "A 6545-2025")</f>
        <v/>
      </c>
      <c r="AD27">
        <f>HYPERLINK("https://klasma.github.io/Logging_0662/tillsynsmail/A 6545-2025 tillsynsbegäran mail.docx", "A 6545-2025")</f>
        <v/>
      </c>
    </row>
    <row r="28" ht="15" customHeight="1">
      <c r="A28" t="inlineStr">
        <is>
          <t>A 18423-2024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45425</v>
      </c>
      <c r="E28" s="1" t="n">
        <v>46249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Ljungögontröst</t>
        </is>
      </c>
      <c r="W28">
        <f>HYPERLINK("https://klasma.github.io/Logging_0662/artfynd/A 18423-2024 artfynd.xlsx", "A 18423-2024")</f>
        <v/>
      </c>
      <c r="X28">
        <f>HYPERLINK("https://klasma.github.io/Logging_0662/kartor/A 18423-2024 karta.png", "A 18423-2024")</f>
        <v/>
      </c>
      <c r="Y28">
        <f>HYPERLINK("https://klasma.github.io/Logging_0662/kartor_geotiff/A 18423-2024 georefererad karta.tif", "A 18423-2024")</f>
        <v/>
      </c>
      <c r="AA28">
        <f>HYPERLINK("https://klasma.github.io/Logging_0662/klagomål/A 18423-2024 FSC-klagomål.docx", "A 18423-2024")</f>
        <v/>
      </c>
      <c r="AB28">
        <f>HYPERLINK("https://klasma.github.io/Logging_0662/klagomålsmail/A 18423-2024 FSC-klagomål mail.docx", "A 18423-2024")</f>
        <v/>
      </c>
      <c r="AC28">
        <f>HYPERLINK("https://klasma.github.io/Logging_0662/tillsyn/A 18423-2024 tillsynsbegäran.docx", "A 18423-2024")</f>
        <v/>
      </c>
      <c r="AD28">
        <f>HYPERLINK("https://klasma.github.io/Logging_0662/tillsynsmail/A 18423-2024 tillsynsbegäran mail.docx", "A 18423-2024")</f>
        <v/>
      </c>
    </row>
    <row r="29" ht="15" customHeight="1">
      <c r="A29" t="inlineStr">
        <is>
          <t>A 47837-2024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46249</v>
      </c>
      <c r="F29" t="inlineStr">
        <is>
          <t>JÖNKÖPINGS LÄN</t>
        </is>
      </c>
      <c r="G29" t="inlineStr">
        <is>
          <t>GISLAVED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HYPERLINK("https://klasma.github.io/Logging_0662/artfynd/A 47837-2024 artfynd.xlsx", "A 47837-2024")</f>
        <v/>
      </c>
      <c r="X29">
        <f>HYPERLINK("https://klasma.github.io/Logging_0662/kartor/A 47837-2024 karta.png", "A 47837-2024")</f>
        <v/>
      </c>
      <c r="Y29">
        <f>HYPERLINK("https://klasma.github.io/Logging_0662/kartor_geotiff/A 47837-2024 georefererad karta.tif", "A 47837-2024")</f>
        <v/>
      </c>
      <c r="AA29">
        <f>HYPERLINK("https://klasma.github.io/Logging_0662/klagomål/A 47837-2024 FSC-klagomål.docx", "A 47837-2024")</f>
        <v/>
      </c>
      <c r="AB29">
        <f>HYPERLINK("https://klasma.github.io/Logging_0662/klagomålsmail/A 47837-2024 FSC-klagomål mail.docx", "A 47837-2024")</f>
        <v/>
      </c>
      <c r="AC29">
        <f>HYPERLINK("https://klasma.github.io/Logging_0662/tillsyn/A 47837-2024 tillsynsbegäran.docx", "A 47837-2024")</f>
        <v/>
      </c>
      <c r="AD29">
        <f>HYPERLINK("https://klasma.github.io/Logging_0662/tillsynsmail/A 47837-2024 tillsynsbegäran mail.docx", "A 47837-2024")</f>
        <v/>
      </c>
      <c r="AE29">
        <f>HYPERLINK("https://klasma.github.io/Logging_0662/fåglar/A 47837-2024 prioriterade fågelarter.docx", "A 47837-2024")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46249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46249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46249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46249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46249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46249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46249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46249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46249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46249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46249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46249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46249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46249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46249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46249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46249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46249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46249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46249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46249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46249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46249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46249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46249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46249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46249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46249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46249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44425</v>
      </c>
      <c r="E59" s="1" t="n">
        <v>46249</v>
      </c>
      <c r="F59" t="inlineStr">
        <is>
          <t>JÖNKÖPINGS LÄN</t>
        </is>
      </c>
      <c r="G59" t="inlineStr">
        <is>
          <t>GISLAVED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42882-2021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44428</v>
      </c>
      <c r="E60" s="1" t="n">
        <v>46249</v>
      </c>
      <c r="F60" t="inlineStr">
        <is>
          <t>JÖNKÖPINGS LÄN</t>
        </is>
      </c>
      <c r="G60" t="inlineStr">
        <is>
          <t>GISLAVED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44446</v>
      </c>
      <c r="E61" s="1" t="n">
        <v>46249</v>
      </c>
      <c r="F61" t="inlineStr">
        <is>
          <t>JÖNKÖPINGS LÄN</t>
        </is>
      </c>
      <c r="G61" t="inlineStr">
        <is>
          <t>GISLAVED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46249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46249</v>
      </c>
      <c r="F63" t="inlineStr">
        <is>
          <t>JÖNKÖPINGS LÄN</t>
        </is>
      </c>
      <c r="G63" t="inlineStr">
        <is>
          <t>GISLAVED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46249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46249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46249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46249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46249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46249</v>
      </c>
      <c r="F69" t="inlineStr">
        <is>
          <t>JÖNKÖPINGS LÄN</t>
        </is>
      </c>
      <c r="G69" t="inlineStr">
        <is>
          <t>GISLAVED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46249</v>
      </c>
      <c r="F70" t="inlineStr">
        <is>
          <t>JÖNKÖPINGS LÄN</t>
        </is>
      </c>
      <c r="G70" t="inlineStr">
        <is>
          <t>GISLAVED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74247-2021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44558</v>
      </c>
      <c r="E71" s="1" t="n">
        <v>46249</v>
      </c>
      <c r="F71" t="inlineStr">
        <is>
          <t>JÖNKÖPINGS LÄN</t>
        </is>
      </c>
      <c r="G71" t="inlineStr">
        <is>
          <t>GISLAVED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46249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46249</v>
      </c>
      <c r="F73" t="inlineStr">
        <is>
          <t>JÖNKÖPINGS LÄN</t>
        </is>
      </c>
      <c r="G73" t="inlineStr">
        <is>
          <t>GISLAVED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46249</v>
      </c>
      <c r="F74" t="inlineStr">
        <is>
          <t>JÖNKÖPINGS LÄN</t>
        </is>
      </c>
      <c r="G74" t="inlineStr">
        <is>
          <t>GISLAVED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46249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46249</v>
      </c>
      <c r="F76" t="inlineStr">
        <is>
          <t>JÖNKÖPINGS LÄN</t>
        </is>
      </c>
      <c r="G76" t="inlineStr">
        <is>
          <t>GISLAVED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44571</v>
      </c>
      <c r="E77" s="1" t="n">
        <v>46249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46249</v>
      </c>
      <c r="F78" t="inlineStr">
        <is>
          <t>JÖNKÖPINGS LÄN</t>
        </is>
      </c>
      <c r="G78" t="inlineStr">
        <is>
          <t>GISLAVED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46249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45698</v>
      </c>
      <c r="E80" s="1" t="n">
        <v>46249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46249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46249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46249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44563</v>
      </c>
      <c r="E84" s="1" t="n">
        <v>46249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46249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46249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46249</v>
      </c>
      <c r="F87" t="inlineStr">
        <is>
          <t>JÖNKÖPINGS LÄN</t>
        </is>
      </c>
      <c r="G87" t="inlineStr">
        <is>
          <t>GISLAVED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46249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46249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46249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46249</v>
      </c>
      <c r="F91" t="inlineStr">
        <is>
          <t>JÖNKÖPINGS LÄN</t>
        </is>
      </c>
      <c r="G91" t="inlineStr">
        <is>
          <t>GISLAVED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46249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46249</v>
      </c>
      <c r="F93" t="inlineStr">
        <is>
          <t>JÖNKÖPINGS LÄN</t>
        </is>
      </c>
      <c r="G93" t="inlineStr">
        <is>
          <t>GISLAVED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46249</v>
      </c>
      <c r="F94" t="inlineStr">
        <is>
          <t>JÖNKÖPINGS LÄN</t>
        </is>
      </c>
      <c r="G94" t="inlineStr">
        <is>
          <t>GISLAVED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46249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46249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44952</v>
      </c>
      <c r="E97" s="1" t="n">
        <v>46249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46249</v>
      </c>
      <c r="F98" t="inlineStr">
        <is>
          <t>JÖNKÖPINGS LÄN</t>
        </is>
      </c>
      <c r="G98" t="inlineStr">
        <is>
          <t>GISLAVED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46249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46249</v>
      </c>
      <c r="F100" t="inlineStr">
        <is>
          <t>JÖNKÖPINGS LÄN</t>
        </is>
      </c>
      <c r="G100" t="inlineStr">
        <is>
          <t>GISLAVED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46249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46249</v>
      </c>
      <c r="F102" t="inlineStr">
        <is>
          <t>JÖNKÖPINGS LÄN</t>
        </is>
      </c>
      <c r="G102" t="inlineStr">
        <is>
          <t>GISLAVED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46249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46249</v>
      </c>
      <c r="F104" t="inlineStr">
        <is>
          <t>JÖNKÖPINGS LÄN</t>
        </is>
      </c>
      <c r="G104" t="inlineStr">
        <is>
          <t>GISLAVED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45235</v>
      </c>
      <c r="E105" s="1" t="n">
        <v>46249</v>
      </c>
      <c r="F105" t="inlineStr">
        <is>
          <t>JÖNKÖPINGS LÄN</t>
        </is>
      </c>
      <c r="G105" t="inlineStr">
        <is>
          <t>GISLAVED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46249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46249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46249</v>
      </c>
      <c r="F108" t="inlineStr">
        <is>
          <t>JÖNKÖPINGS LÄN</t>
        </is>
      </c>
      <c r="G108" t="inlineStr">
        <is>
          <t>GISLAVED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46249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46249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46249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46249</v>
      </c>
      <c r="F112" t="inlineStr">
        <is>
          <t>JÖNKÖPINGS LÄN</t>
        </is>
      </c>
      <c r="G112" t="inlineStr">
        <is>
          <t>GISLAVED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46249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46249</v>
      </c>
      <c r="F114" t="inlineStr">
        <is>
          <t>JÖNKÖPINGS LÄN</t>
        </is>
      </c>
      <c r="G114" t="inlineStr">
        <is>
          <t>GISLAVED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46249</v>
      </c>
      <c r="F115" t="inlineStr">
        <is>
          <t>JÖNKÖPINGS LÄN</t>
        </is>
      </c>
      <c r="G115" t="inlineStr">
        <is>
          <t>GISLAVED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46249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46249</v>
      </c>
      <c r="F117" t="inlineStr">
        <is>
          <t>JÖNKÖPINGS LÄN</t>
        </is>
      </c>
      <c r="G117" t="inlineStr">
        <is>
          <t>GISLAVED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46249</v>
      </c>
      <c r="F118" t="inlineStr">
        <is>
          <t>JÖNKÖPINGS LÄN</t>
        </is>
      </c>
      <c r="G118" t="inlineStr">
        <is>
          <t>GISLAVED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46249</v>
      </c>
      <c r="F119" t="inlineStr">
        <is>
          <t>JÖNKÖPINGS LÄN</t>
        </is>
      </c>
      <c r="G119" t="inlineStr">
        <is>
          <t>GISLAVED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46249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46249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46249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46249</v>
      </c>
      <c r="F123" t="inlineStr">
        <is>
          <t>JÖNKÖPINGS LÄN</t>
        </is>
      </c>
      <c r="G123" t="inlineStr">
        <is>
          <t>GISLAVED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46249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46249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46249</v>
      </c>
      <c r="F126" t="inlineStr">
        <is>
          <t>JÖNKÖPINGS LÄN</t>
        </is>
      </c>
      <c r="G126" t="inlineStr">
        <is>
          <t>GISLAVED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45317</v>
      </c>
      <c r="E127" s="1" t="n">
        <v>46249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46249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46249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46249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46249</v>
      </c>
      <c r="F131" t="inlineStr">
        <is>
          <t>JÖNKÖPINGS LÄN</t>
        </is>
      </c>
      <c r="G131" t="inlineStr">
        <is>
          <t>GISLAVED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46249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46249</v>
      </c>
      <c r="F133" t="inlineStr">
        <is>
          <t>JÖNKÖPINGS LÄN</t>
        </is>
      </c>
      <c r="G133" t="inlineStr">
        <is>
          <t>GISLAVED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46249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46249</v>
      </c>
      <c r="F135" t="inlineStr">
        <is>
          <t>JÖNKÖPINGS LÄN</t>
        </is>
      </c>
      <c r="G135" t="inlineStr">
        <is>
          <t>GISLAVED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45465</v>
      </c>
      <c r="E136" s="1" t="n">
        <v>46249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44791</v>
      </c>
      <c r="E137" s="1" t="n">
        <v>46249</v>
      </c>
      <c r="F137" t="inlineStr">
        <is>
          <t>JÖNKÖPINGS LÄN</t>
        </is>
      </c>
      <c r="G137" t="inlineStr">
        <is>
          <t>GISLAVED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46249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46249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46249</v>
      </c>
      <c r="F140" t="inlineStr">
        <is>
          <t>JÖNKÖPINGS LÄN</t>
        </is>
      </c>
      <c r="G140" t="inlineStr">
        <is>
          <t>GISLAVED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46249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46249</v>
      </c>
      <c r="F142" t="inlineStr">
        <is>
          <t>JÖNKÖPINGS LÄN</t>
        </is>
      </c>
      <c r="G142" t="inlineStr">
        <is>
          <t>GISLAVED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45324</v>
      </c>
      <c r="E143" s="1" t="n">
        <v>46249</v>
      </c>
      <c r="F143" t="inlineStr">
        <is>
          <t>JÖNKÖPINGS LÄN</t>
        </is>
      </c>
      <c r="G143" t="inlineStr">
        <is>
          <t>GISLAVED</t>
        </is>
      </c>
      <c r="H143" t="inlineStr">
        <is>
          <t>Kommuner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45497</v>
      </c>
      <c r="E144" s="1" t="n">
        <v>46249</v>
      </c>
      <c r="F144" t="inlineStr">
        <is>
          <t>JÖNKÖPINGS LÄN</t>
        </is>
      </c>
      <c r="G144" t="inlineStr">
        <is>
          <t>GISLAVED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46249</v>
      </c>
      <c r="F145" t="inlineStr">
        <is>
          <t>JÖNKÖPINGS LÄN</t>
        </is>
      </c>
      <c r="G145" t="inlineStr">
        <is>
          <t>GISLAVED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44818</v>
      </c>
      <c r="E146" s="1" t="n">
        <v>46249</v>
      </c>
      <c r="F146" t="inlineStr">
        <is>
          <t>JÖNKÖPINGS LÄN</t>
        </is>
      </c>
      <c r="G146" t="inlineStr">
        <is>
          <t>GISLAVED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46249</v>
      </c>
      <c r="F147" t="inlineStr">
        <is>
          <t>JÖNKÖPINGS LÄN</t>
        </is>
      </c>
      <c r="G147" t="inlineStr">
        <is>
          <t>GISLAVED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45515</v>
      </c>
      <c r="E148" s="1" t="n">
        <v>46249</v>
      </c>
      <c r="F148" t="inlineStr">
        <is>
          <t>JÖNKÖPINGS LÄN</t>
        </is>
      </c>
      <c r="G148" t="inlineStr">
        <is>
          <t>GISLAVED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46249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46249</v>
      </c>
      <c r="F150" t="inlineStr">
        <is>
          <t>JÖNKÖPINGS LÄN</t>
        </is>
      </c>
      <c r="G150" t="inlineStr">
        <is>
          <t>GISLAVED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46249</v>
      </c>
      <c r="F151" t="inlineStr">
        <is>
          <t>JÖNKÖPINGS LÄN</t>
        </is>
      </c>
      <c r="G151" t="inlineStr">
        <is>
          <t>GISLAVED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46249</v>
      </c>
      <c r="F152" t="inlineStr">
        <is>
          <t>JÖNKÖPINGS LÄN</t>
        </is>
      </c>
      <c r="G152" t="inlineStr">
        <is>
          <t>GISLAVED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46249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46249</v>
      </c>
      <c r="F154" t="inlineStr">
        <is>
          <t>JÖNKÖPINGS LÄN</t>
        </is>
      </c>
      <c r="G154" t="inlineStr">
        <is>
          <t>GISLAVED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66544-2021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44519</v>
      </c>
      <c r="E155" s="1" t="n">
        <v>46249</v>
      </c>
      <c r="F155" t="inlineStr">
        <is>
          <t>JÖNKÖPINGS LÄN</t>
        </is>
      </c>
      <c r="G155" t="inlineStr">
        <is>
          <t>GISLAVED</t>
        </is>
      </c>
      <c r="H155" t="inlineStr">
        <is>
          <t>Kommuner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45235</v>
      </c>
      <c r="E156" s="1" t="n">
        <v>46249</v>
      </c>
      <c r="F156" t="inlineStr">
        <is>
          <t>JÖNKÖPINGS LÄN</t>
        </is>
      </c>
      <c r="G156" t="inlineStr">
        <is>
          <t>GISLAVED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46249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46249</v>
      </c>
      <c r="F158" t="inlineStr">
        <is>
          <t>JÖNKÖPINGS LÄN</t>
        </is>
      </c>
      <c r="G158" t="inlineStr">
        <is>
          <t>GISLAVED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46249</v>
      </c>
      <c r="F159" t="inlineStr">
        <is>
          <t>JÖNKÖPINGS LÄN</t>
        </is>
      </c>
      <c r="G159" t="inlineStr">
        <is>
          <t>GISLAVED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46249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45900</v>
      </c>
      <c r="E161" s="1" t="n">
        <v>46249</v>
      </c>
      <c r="F161" t="inlineStr">
        <is>
          <t>JÖNKÖPINGS LÄN</t>
        </is>
      </c>
      <c r="G161" t="inlineStr">
        <is>
          <t>GISLAVED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46249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46249</v>
      </c>
      <c r="F163" t="inlineStr">
        <is>
          <t>JÖNKÖPINGS LÄN</t>
        </is>
      </c>
      <c r="G163" t="inlineStr">
        <is>
          <t>GISLAVED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67211-2021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46249</v>
      </c>
      <c r="F164" t="inlineStr">
        <is>
          <t>JÖNKÖPINGS LÄN</t>
        </is>
      </c>
      <c r="G164" t="inlineStr">
        <is>
          <t>GISLAVED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46249</v>
      </c>
      <c r="F165" t="inlineStr">
        <is>
          <t>JÖNKÖPINGS LÄN</t>
        </is>
      </c>
      <c r="G165" t="inlineStr">
        <is>
          <t>GISLAVED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46249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46249</v>
      </c>
      <c r="F167" t="inlineStr">
        <is>
          <t>JÖNKÖPINGS LÄN</t>
        </is>
      </c>
      <c r="G167" t="inlineStr">
        <is>
          <t>GISLAVED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46249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46249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46249</v>
      </c>
      <c r="F170" t="inlineStr">
        <is>
          <t>JÖNKÖPINGS LÄN</t>
        </is>
      </c>
      <c r="G170" t="inlineStr">
        <is>
          <t>GISLAVED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42602-2025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45905</v>
      </c>
      <c r="E171" s="1" t="n">
        <v>46249</v>
      </c>
      <c r="F171" t="inlineStr">
        <is>
          <t>JÖNKÖPINGS LÄN</t>
        </is>
      </c>
      <c r="G171" t="inlineStr">
        <is>
          <t>GISLAVED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46249</v>
      </c>
      <c r="F172" t="inlineStr">
        <is>
          <t>JÖNKÖPINGS LÄN</t>
        </is>
      </c>
      <c r="G172" t="inlineStr">
        <is>
          <t>GISLAVED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46249</v>
      </c>
      <c r="F173" t="inlineStr">
        <is>
          <t>JÖNKÖPINGS LÄN</t>
        </is>
      </c>
      <c r="G173" t="inlineStr">
        <is>
          <t>GISLAVED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46249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46249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46249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44563</v>
      </c>
      <c r="E177" s="1" t="n">
        <v>46249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46249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46249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46249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46249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46249</v>
      </c>
      <c r="F182" t="inlineStr">
        <is>
          <t>JÖNKÖPINGS LÄN</t>
        </is>
      </c>
      <c r="G182" t="inlineStr">
        <is>
          <t>GISLAVED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46249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46249</v>
      </c>
      <c r="F184" t="inlineStr">
        <is>
          <t>JÖNKÖPINGS LÄN</t>
        </is>
      </c>
      <c r="G184" t="inlineStr">
        <is>
          <t>GISLAVED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46249</v>
      </c>
      <c r="F185" t="inlineStr">
        <is>
          <t>JÖNKÖPINGS LÄN</t>
        </is>
      </c>
      <c r="G185" t="inlineStr">
        <is>
          <t>GISLAVED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46249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46249</v>
      </c>
      <c r="F187" t="inlineStr">
        <is>
          <t>JÖNKÖPINGS LÄN</t>
        </is>
      </c>
      <c r="G187" t="inlineStr">
        <is>
          <t>GISLAVED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46249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46249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46083</v>
      </c>
      <c r="E190" s="1" t="n">
        <v>46249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46249</v>
      </c>
      <c r="F191" t="inlineStr">
        <is>
          <t>JÖNKÖPINGS LÄN</t>
        </is>
      </c>
      <c r="G191" t="inlineStr">
        <is>
          <t>GISLAVED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46249</v>
      </c>
      <c r="F192" t="inlineStr">
        <is>
          <t>JÖNKÖPINGS LÄN</t>
        </is>
      </c>
      <c r="G192" t="inlineStr">
        <is>
          <t>GISLAVED</t>
        </is>
      </c>
      <c r="H192" t="inlineStr">
        <is>
          <t>Kyrkan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46249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46249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46080</v>
      </c>
      <c r="E195" s="1" t="n">
        <v>46249</v>
      </c>
      <c r="F195" t="inlineStr">
        <is>
          <t>JÖNKÖPINGS LÄN</t>
        </is>
      </c>
      <c r="G195" t="inlineStr">
        <is>
          <t>GISLAVED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45282</v>
      </c>
      <c r="E196" s="1" t="n">
        <v>46249</v>
      </c>
      <c r="F196" t="inlineStr">
        <is>
          <t>JÖNKÖPINGS LÄN</t>
        </is>
      </c>
      <c r="G196" t="inlineStr">
        <is>
          <t>GISLAVED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65546-2021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46249</v>
      </c>
      <c r="F197" t="inlineStr">
        <is>
          <t>JÖNKÖPINGS LÄN</t>
        </is>
      </c>
      <c r="G197" t="inlineStr">
        <is>
          <t>GISLAVED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46249</v>
      </c>
      <c r="F198" t="inlineStr">
        <is>
          <t>JÖNKÖPINGS LÄN</t>
        </is>
      </c>
      <c r="G198" t="inlineStr">
        <is>
          <t>GISLAVED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46249</v>
      </c>
      <c r="F199" t="inlineStr">
        <is>
          <t>JÖNKÖPINGS LÄN</t>
        </is>
      </c>
      <c r="G199" t="inlineStr">
        <is>
          <t>GISLAVED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46249</v>
      </c>
      <c r="F200" t="inlineStr">
        <is>
          <t>JÖNKÖPINGS LÄN</t>
        </is>
      </c>
      <c r="G200" t="inlineStr">
        <is>
          <t>GISLAVED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46249</v>
      </c>
      <c r="F201" t="inlineStr">
        <is>
          <t>JÖNKÖPINGS LÄN</t>
        </is>
      </c>
      <c r="G201" t="inlineStr">
        <is>
          <t>GISLAVED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46249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46249</v>
      </c>
      <c r="F203" t="inlineStr">
        <is>
          <t>JÖNKÖPINGS LÄN</t>
        </is>
      </c>
      <c r="G203" t="inlineStr">
        <is>
          <t>GISLAVED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46249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46249</v>
      </c>
      <c r="F205" t="inlineStr">
        <is>
          <t>JÖNKÖPINGS LÄN</t>
        </is>
      </c>
      <c r="G205" t="inlineStr">
        <is>
          <t>GISLAVED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46249</v>
      </c>
      <c r="F206" t="inlineStr">
        <is>
          <t>JÖNKÖPINGS LÄN</t>
        </is>
      </c>
      <c r="G206" t="inlineStr">
        <is>
          <t>GISLAVED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46249</v>
      </c>
      <c r="F207" t="inlineStr">
        <is>
          <t>JÖNKÖPINGS LÄN</t>
        </is>
      </c>
      <c r="G207" t="inlineStr">
        <is>
          <t>GISLAVED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46249</v>
      </c>
      <c r="F208" t="inlineStr">
        <is>
          <t>JÖNKÖPINGS LÄN</t>
        </is>
      </c>
      <c r="G208" t="inlineStr">
        <is>
          <t>GISLAVED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46249</v>
      </c>
      <c r="F209" t="inlineStr">
        <is>
          <t>JÖNKÖPINGS LÄN</t>
        </is>
      </c>
      <c r="G209" t="inlineStr">
        <is>
          <t>GISLAVED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46249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46249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46249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46249</v>
      </c>
      <c r="F213" t="inlineStr">
        <is>
          <t>JÖNKÖPINGS LÄN</t>
        </is>
      </c>
      <c r="G213" t="inlineStr">
        <is>
          <t>GISLAVED</t>
        </is>
      </c>
      <c r="H213" t="inlineStr">
        <is>
          <t>Sveaskog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46249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46249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46249</v>
      </c>
      <c r="F216" t="inlineStr">
        <is>
          <t>JÖNKÖPINGS LÄN</t>
        </is>
      </c>
      <c r="G216" t="inlineStr">
        <is>
          <t>GISLAVED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46249</v>
      </c>
      <c r="F217" t="inlineStr">
        <is>
          <t>JÖNKÖPINGS LÄN</t>
        </is>
      </c>
      <c r="G217" t="inlineStr">
        <is>
          <t>GISLAVED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46249</v>
      </c>
      <c r="F218" t="inlineStr">
        <is>
          <t>JÖNKÖPINGS LÄN</t>
        </is>
      </c>
      <c r="G218" t="inlineStr">
        <is>
          <t>GISLAVED</t>
        </is>
      </c>
      <c r="H218" t="inlineStr">
        <is>
          <t>Sveaskog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48283-2025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46249</v>
      </c>
      <c r="F219" t="inlineStr">
        <is>
          <t>JÖNKÖPINGS LÄN</t>
        </is>
      </c>
      <c r="G219" t="inlineStr">
        <is>
          <t>GISLAVED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46249</v>
      </c>
      <c r="F220" t="inlineStr">
        <is>
          <t>JÖNKÖPINGS LÄN</t>
        </is>
      </c>
      <c r="G220" t="inlineStr">
        <is>
          <t>GISLAVED</t>
        </is>
      </c>
      <c r="H220" t="inlineStr">
        <is>
          <t>Kyrkan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46249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46249</v>
      </c>
      <c r="F222" t="inlineStr">
        <is>
          <t>JÖNKÖPINGS LÄN</t>
        </is>
      </c>
      <c r="G222" t="inlineStr">
        <is>
          <t>GISLAVED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32989-2024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45517</v>
      </c>
      <c r="E223" s="1" t="n">
        <v>46249</v>
      </c>
      <c r="F223" t="inlineStr">
        <is>
          <t>JÖNKÖPINGS LÄN</t>
        </is>
      </c>
      <c r="G223" t="inlineStr">
        <is>
          <t>GISLAVED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46249</v>
      </c>
      <c r="F224" t="inlineStr">
        <is>
          <t>JÖNKÖPINGS LÄN</t>
        </is>
      </c>
      <c r="G224" t="inlineStr">
        <is>
          <t>GISLAVED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46249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46249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45125</v>
      </c>
      <c r="E227" s="1" t="n">
        <v>46249</v>
      </c>
      <c r="F227" t="inlineStr">
        <is>
          <t>JÖNKÖPINGS LÄN</t>
        </is>
      </c>
      <c r="G227" t="inlineStr">
        <is>
          <t>GISLAVED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46249</v>
      </c>
      <c r="F228" t="inlineStr">
        <is>
          <t>JÖNKÖPINGS LÄN</t>
        </is>
      </c>
      <c r="G228" t="inlineStr">
        <is>
          <t>GISLAVED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45939</v>
      </c>
      <c r="E229" s="1" t="n">
        <v>46249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46249</v>
      </c>
      <c r="F230" t="inlineStr">
        <is>
          <t>JÖNKÖPINGS LÄN</t>
        </is>
      </c>
      <c r="G230" t="inlineStr">
        <is>
          <t>GISLAVED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46249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46249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61914-2021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46249</v>
      </c>
      <c r="F233" t="inlineStr">
        <is>
          <t>JÖNKÖPINGS LÄN</t>
        </is>
      </c>
      <c r="G233" t="inlineStr">
        <is>
          <t>GISLAVED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46249</v>
      </c>
      <c r="F234" t="inlineStr">
        <is>
          <t>JÖNKÖPINGS LÄN</t>
        </is>
      </c>
      <c r="G234" t="inlineStr">
        <is>
          <t>GISLAVED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46249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46249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46249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46249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46249</v>
      </c>
      <c r="F239" t="inlineStr">
        <is>
          <t>JÖNKÖPINGS LÄN</t>
        </is>
      </c>
      <c r="G239" t="inlineStr">
        <is>
          <t>GISLAVED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46249</v>
      </c>
      <c r="F240" t="inlineStr">
        <is>
          <t>JÖNKÖPINGS LÄN</t>
        </is>
      </c>
      <c r="G240" t="inlineStr">
        <is>
          <t>GISLAVED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46249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46249</v>
      </c>
      <c r="F242" t="inlineStr">
        <is>
          <t>JÖNKÖPINGS LÄN</t>
        </is>
      </c>
      <c r="G242" t="inlineStr">
        <is>
          <t>GISLAVED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46249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46249</v>
      </c>
      <c r="F244" t="inlineStr">
        <is>
          <t>JÖNKÖPINGS LÄN</t>
        </is>
      </c>
      <c r="G244" t="inlineStr">
        <is>
          <t>GISLAVED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46249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46249</v>
      </c>
      <c r="F246" t="inlineStr">
        <is>
          <t>JÖNKÖPINGS LÄN</t>
        </is>
      </c>
      <c r="G246" t="inlineStr">
        <is>
          <t>GISLAVED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45011</v>
      </c>
      <c r="E247" s="1" t="n">
        <v>46249</v>
      </c>
      <c r="F247" t="inlineStr">
        <is>
          <t>JÖNKÖPINGS LÄN</t>
        </is>
      </c>
      <c r="G247" t="inlineStr">
        <is>
          <t>GISLAVED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46249</v>
      </c>
      <c r="F248" t="inlineStr">
        <is>
          <t>JÖNKÖPINGS LÄN</t>
        </is>
      </c>
      <c r="G248" t="inlineStr">
        <is>
          <t>GISLAVED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46249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46249</v>
      </c>
      <c r="F250" t="inlineStr">
        <is>
          <t>JÖNKÖPINGS LÄN</t>
        </is>
      </c>
      <c r="G250" t="inlineStr">
        <is>
          <t>GISLAVED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46249</v>
      </c>
      <c r="F251" t="inlineStr">
        <is>
          <t>JÖNKÖPINGS LÄN</t>
        </is>
      </c>
      <c r="G251" t="inlineStr">
        <is>
          <t>GISLAVED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46249</v>
      </c>
      <c r="F252" t="inlineStr">
        <is>
          <t>JÖNKÖPINGS LÄN</t>
        </is>
      </c>
      <c r="G252" t="inlineStr">
        <is>
          <t>GISLAVED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46249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46249</v>
      </c>
      <c r="F254" t="inlineStr">
        <is>
          <t>JÖNKÖPINGS LÄN</t>
        </is>
      </c>
      <c r="G254" t="inlineStr">
        <is>
          <t>GISLAVED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46249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46249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46249</v>
      </c>
      <c r="F257" t="inlineStr">
        <is>
          <t>JÖNKÖPINGS LÄN</t>
        </is>
      </c>
      <c r="G257" t="inlineStr">
        <is>
          <t>GISLAVED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46249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46249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46249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46249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46249</v>
      </c>
      <c r="F262" t="inlineStr">
        <is>
          <t>JÖNKÖPINGS LÄN</t>
        </is>
      </c>
      <c r="G262" t="inlineStr">
        <is>
          <t>GISLAVED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46249</v>
      </c>
      <c r="F263" t="inlineStr">
        <is>
          <t>JÖNKÖPINGS LÄN</t>
        </is>
      </c>
      <c r="G263" t="inlineStr">
        <is>
          <t>GISLAVED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46249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46249</v>
      </c>
      <c r="F265" t="inlineStr">
        <is>
          <t>JÖNKÖPINGS LÄN</t>
        </is>
      </c>
      <c r="G265" t="inlineStr">
        <is>
          <t>GISLAVED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45963</v>
      </c>
      <c r="E266" s="1" t="n">
        <v>46249</v>
      </c>
      <c r="F266" t="inlineStr">
        <is>
          <t>JÖNKÖPINGS LÄN</t>
        </is>
      </c>
      <c r="G266" t="inlineStr">
        <is>
          <t>GISLAVED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46249</v>
      </c>
      <c r="F267" t="inlineStr">
        <is>
          <t>JÖNKÖPINGS LÄN</t>
        </is>
      </c>
      <c r="G267" t="inlineStr">
        <is>
          <t>GISLAVED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46249</v>
      </c>
      <c r="F268" t="inlineStr">
        <is>
          <t>JÖNKÖPINGS LÄN</t>
        </is>
      </c>
      <c r="G268" t="inlineStr">
        <is>
          <t>GISLAVED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46249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46249</v>
      </c>
      <c r="F270" t="inlineStr">
        <is>
          <t>JÖNKÖPINGS LÄN</t>
        </is>
      </c>
      <c r="G270" t="inlineStr">
        <is>
          <t>GISLAVED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46249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46249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46249</v>
      </c>
      <c r="F273" t="inlineStr">
        <is>
          <t>JÖNKÖPINGS LÄN</t>
        </is>
      </c>
      <c r="G273" t="inlineStr">
        <is>
          <t>GISLAVED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46249</v>
      </c>
      <c r="F274" t="inlineStr">
        <is>
          <t>JÖNKÖPINGS LÄN</t>
        </is>
      </c>
      <c r="G274" t="inlineStr">
        <is>
          <t>GISLAVED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46249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44432</v>
      </c>
      <c r="E276" s="1" t="n">
        <v>46249</v>
      </c>
      <c r="F276" t="inlineStr">
        <is>
          <t>JÖNKÖPINGS LÄN</t>
        </is>
      </c>
      <c r="G276" t="inlineStr">
        <is>
          <t>GISLAVED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46249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46249</v>
      </c>
      <c r="F278" t="inlineStr">
        <is>
          <t>JÖNKÖPINGS LÄN</t>
        </is>
      </c>
      <c r="G278" t="inlineStr">
        <is>
          <t>GISLAVED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46249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44588</v>
      </c>
      <c r="E280" s="1" t="n">
        <v>46249</v>
      </c>
      <c r="F280" t="inlineStr">
        <is>
          <t>JÖNKÖPINGS LÄN</t>
        </is>
      </c>
      <c r="G280" t="inlineStr">
        <is>
          <t>GISLAVED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46249</v>
      </c>
      <c r="F281" t="inlineStr">
        <is>
          <t>JÖNKÖPINGS LÄN</t>
        </is>
      </c>
      <c r="G281" t="inlineStr">
        <is>
          <t>GISLAVED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46249</v>
      </c>
      <c r="F282" t="inlineStr">
        <is>
          <t>JÖNKÖPINGS LÄN</t>
        </is>
      </c>
      <c r="G282" t="inlineStr">
        <is>
          <t>GISLAVED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44926</v>
      </c>
      <c r="E283" s="1" t="n">
        <v>46249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46249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44748</v>
      </c>
      <c r="E285" s="1" t="n">
        <v>46249</v>
      </c>
      <c r="F285" t="inlineStr">
        <is>
          <t>JÖNKÖPINGS LÄN</t>
        </is>
      </c>
      <c r="G285" t="inlineStr">
        <is>
          <t>GISLAVED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46249</v>
      </c>
      <c r="F286" t="inlineStr">
        <is>
          <t>JÖNKÖPINGS LÄN</t>
        </is>
      </c>
      <c r="G286" t="inlineStr">
        <is>
          <t>GISLAVED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46249</v>
      </c>
      <c r="F287" t="inlineStr">
        <is>
          <t>JÖNKÖPINGS LÄN</t>
        </is>
      </c>
      <c r="G287" t="inlineStr">
        <is>
          <t>GISLAVED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46249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46249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46249</v>
      </c>
      <c r="F290" t="inlineStr">
        <is>
          <t>JÖNKÖPINGS LÄN</t>
        </is>
      </c>
      <c r="G290" t="inlineStr">
        <is>
          <t>GISLAVED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46249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46249</v>
      </c>
      <c r="F292" t="inlineStr">
        <is>
          <t>JÖNKÖPINGS LÄN</t>
        </is>
      </c>
      <c r="G292" t="inlineStr">
        <is>
          <t>GISLAVED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46249</v>
      </c>
      <c r="F293" t="inlineStr">
        <is>
          <t>JÖNKÖPINGS LÄN</t>
        </is>
      </c>
      <c r="G293" t="inlineStr">
        <is>
          <t>GISLAVED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46249</v>
      </c>
      <c r="F294" t="inlineStr">
        <is>
          <t>JÖNKÖPINGS LÄN</t>
        </is>
      </c>
      <c r="G294" t="inlineStr">
        <is>
          <t>GISLAVED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46249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46249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46249</v>
      </c>
      <c r="F297" t="inlineStr">
        <is>
          <t>JÖNKÖPINGS LÄN</t>
        </is>
      </c>
      <c r="G297" t="inlineStr">
        <is>
          <t>GISLAVED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46249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46249</v>
      </c>
      <c r="F299" t="inlineStr">
        <is>
          <t>JÖNKÖPINGS LÄN</t>
        </is>
      </c>
      <c r="G299" t="inlineStr">
        <is>
          <t>GISLAVED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45599</v>
      </c>
      <c r="E300" s="1" t="n">
        <v>46249</v>
      </c>
      <c r="F300" t="inlineStr">
        <is>
          <t>JÖNKÖPINGS LÄN</t>
        </is>
      </c>
      <c r="G300" t="inlineStr">
        <is>
          <t>GISLAVED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46249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50324-2021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46249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46249</v>
      </c>
      <c r="F303" t="inlineStr">
        <is>
          <t>JÖNKÖPINGS LÄN</t>
        </is>
      </c>
      <c r="G303" t="inlineStr">
        <is>
          <t>GISLAVED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46249</v>
      </c>
      <c r="F304" t="inlineStr">
        <is>
          <t>JÖNKÖPINGS LÄN</t>
        </is>
      </c>
      <c r="G304" t="inlineStr">
        <is>
          <t>GISLAVED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46249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46249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46249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46249</v>
      </c>
      <c r="F308" t="inlineStr">
        <is>
          <t>JÖNKÖPINGS LÄN</t>
        </is>
      </c>
      <c r="G308" t="inlineStr">
        <is>
          <t>GISLAVED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49590-2021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44455</v>
      </c>
      <c r="E309" s="1" t="n">
        <v>46249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46249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46249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46249</v>
      </c>
      <c r="F312" t="inlineStr">
        <is>
          <t>JÖNKÖPINGS LÄN</t>
        </is>
      </c>
      <c r="G312" t="inlineStr">
        <is>
          <t>GISLAVED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46249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46249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46249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46249</v>
      </c>
      <c r="F316" t="inlineStr">
        <is>
          <t>JÖNKÖPINGS LÄN</t>
        </is>
      </c>
      <c r="G316" t="inlineStr">
        <is>
          <t>GISLAVED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46249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45891-2021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44441</v>
      </c>
      <c r="E318" s="1" t="n">
        <v>46249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46249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46249</v>
      </c>
      <c r="F320" t="inlineStr">
        <is>
          <t>JÖNKÖPINGS LÄN</t>
        </is>
      </c>
      <c r="G320" t="inlineStr">
        <is>
          <t>GISLAVED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45594</v>
      </c>
      <c r="E321" s="1" t="n">
        <v>46249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46249</v>
      </c>
      <c r="F322" t="inlineStr">
        <is>
          <t>JÖNKÖPINGS LÄN</t>
        </is>
      </c>
      <c r="G322" t="inlineStr">
        <is>
          <t>GISLAVED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44803</v>
      </c>
      <c r="E323" s="1" t="n">
        <v>46249</v>
      </c>
      <c r="F323" t="inlineStr">
        <is>
          <t>JÖNKÖPINGS LÄN</t>
        </is>
      </c>
      <c r="G323" t="inlineStr">
        <is>
          <t>GISLAVED</t>
        </is>
      </c>
      <c r="H323" t="inlineStr">
        <is>
          <t>Kyrkan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46249</v>
      </c>
      <c r="F324" t="inlineStr">
        <is>
          <t>JÖNKÖPINGS LÄN</t>
        </is>
      </c>
      <c r="G324" t="inlineStr">
        <is>
          <t>GISLAVED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46249</v>
      </c>
      <c r="F325" t="inlineStr">
        <is>
          <t>JÖNKÖPINGS LÄN</t>
        </is>
      </c>
      <c r="G325" t="inlineStr">
        <is>
          <t>GISLAVED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46249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46249</v>
      </c>
      <c r="F327" t="inlineStr">
        <is>
          <t>JÖNKÖPINGS LÄN</t>
        </is>
      </c>
      <c r="G327" t="inlineStr">
        <is>
          <t>GISLAVED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61351-2022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46249</v>
      </c>
      <c r="F328" t="inlineStr">
        <is>
          <t>JÖNKÖPINGS LÄN</t>
        </is>
      </c>
      <c r="G328" t="inlineStr">
        <is>
          <t>GISLAVED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45348</v>
      </c>
      <c r="E329" s="1" t="n">
        <v>46249</v>
      </c>
      <c r="F329" t="inlineStr">
        <is>
          <t>JÖNKÖPINGS LÄN</t>
        </is>
      </c>
      <c r="G329" t="inlineStr">
        <is>
          <t>GISLAVED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61891-2021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44502</v>
      </c>
      <c r="E330" s="1" t="n">
        <v>46249</v>
      </c>
      <c r="F330" t="inlineStr">
        <is>
          <t>JÖNKÖPINGS LÄN</t>
        </is>
      </c>
      <c r="G330" t="inlineStr">
        <is>
          <t>GISLAVED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46249</v>
      </c>
      <c r="F331" t="inlineStr">
        <is>
          <t>JÖNKÖPINGS LÄN</t>
        </is>
      </c>
      <c r="G331" t="inlineStr">
        <is>
          <t>GISLAVED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46249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44977</v>
      </c>
      <c r="E333" s="1" t="n">
        <v>46249</v>
      </c>
      <c r="F333" t="inlineStr">
        <is>
          <t>JÖNKÖPINGS LÄN</t>
        </is>
      </c>
      <c r="G333" t="inlineStr">
        <is>
          <t>GISLAVED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45629</v>
      </c>
      <c r="E334" s="1" t="n">
        <v>46249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46249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45042</v>
      </c>
      <c r="E336" s="1" t="n">
        <v>46249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46249</v>
      </c>
      <c r="F337" t="inlineStr">
        <is>
          <t>JÖNKÖPINGS LÄN</t>
        </is>
      </c>
      <c r="G337" t="inlineStr">
        <is>
          <t>GISLAVED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46249</v>
      </c>
      <c r="F338" t="inlineStr">
        <is>
          <t>JÖNKÖPINGS LÄN</t>
        </is>
      </c>
      <c r="G338" t="inlineStr">
        <is>
          <t>GISLAVED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46249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46249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46249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46249</v>
      </c>
      <c r="F342" t="inlineStr">
        <is>
          <t>JÖNKÖPINGS LÄN</t>
        </is>
      </c>
      <c r="G342" t="inlineStr">
        <is>
          <t>GISLAVED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46249</v>
      </c>
      <c r="F343" t="inlineStr">
        <is>
          <t>JÖNKÖPINGS LÄN</t>
        </is>
      </c>
      <c r="G343" t="inlineStr">
        <is>
          <t>GISLAVED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44497</v>
      </c>
      <c r="E344" s="1" t="n">
        <v>46249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45026</v>
      </c>
      <c r="E345" s="1" t="n">
        <v>46249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46249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46249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45706</v>
      </c>
      <c r="E348" s="1" t="n">
        <v>46249</v>
      </c>
      <c r="F348" t="inlineStr">
        <is>
          <t>JÖNKÖPINGS LÄN</t>
        </is>
      </c>
      <c r="G348" t="inlineStr">
        <is>
          <t>GISLAVED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46249</v>
      </c>
      <c r="F349" t="inlineStr">
        <is>
          <t>JÖNKÖPINGS LÄN</t>
        </is>
      </c>
      <c r="G349" t="inlineStr">
        <is>
          <t>GISLAVED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46249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46249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46249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46249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45000</v>
      </c>
      <c r="E354" s="1" t="n">
        <v>46249</v>
      </c>
      <c r="F354" t="inlineStr">
        <is>
          <t>JÖNKÖPINGS LÄN</t>
        </is>
      </c>
      <c r="G354" t="inlineStr">
        <is>
          <t>GISLAVED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46249</v>
      </c>
      <c r="F355" t="inlineStr">
        <is>
          <t>JÖNKÖPINGS LÄN</t>
        </is>
      </c>
      <c r="G355" t="inlineStr">
        <is>
          <t>GISLAVED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45350</v>
      </c>
      <c r="E356" s="1" t="n">
        <v>46249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46249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46249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46249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45096</v>
      </c>
      <c r="E360" s="1" t="n">
        <v>46249</v>
      </c>
      <c r="F360" t="inlineStr">
        <is>
          <t>JÖNKÖPINGS LÄN</t>
        </is>
      </c>
      <c r="G360" t="inlineStr">
        <is>
          <t>GISLAVED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46249</v>
      </c>
      <c r="F361" t="inlineStr">
        <is>
          <t>JÖNKÖPINGS LÄN</t>
        </is>
      </c>
      <c r="G361" t="inlineStr">
        <is>
          <t>GISLAVED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46249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46249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46249</v>
      </c>
      <c r="F364" t="inlineStr">
        <is>
          <t>JÖNKÖPINGS LÄN</t>
        </is>
      </c>
      <c r="G364" t="inlineStr">
        <is>
          <t>GISLAVED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46249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46249</v>
      </c>
      <c r="F366" t="inlineStr">
        <is>
          <t>JÖNKÖPINGS LÄN</t>
        </is>
      </c>
      <c r="G366" t="inlineStr">
        <is>
          <t>GISLAVED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46249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46249</v>
      </c>
      <c r="F368" t="inlineStr">
        <is>
          <t>JÖNKÖPINGS LÄN</t>
        </is>
      </c>
      <c r="G368" t="inlineStr">
        <is>
          <t>GISLAVED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46249</v>
      </c>
      <c r="F369" t="inlineStr">
        <is>
          <t>JÖNKÖPINGS LÄN</t>
        </is>
      </c>
      <c r="G369" t="inlineStr">
        <is>
          <t>GISLAVED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46249</v>
      </c>
      <c r="F370" t="inlineStr">
        <is>
          <t>JÖNKÖPINGS LÄN</t>
        </is>
      </c>
      <c r="G370" t="inlineStr">
        <is>
          <t>GISLAVED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46249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62942-2025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46249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45818</v>
      </c>
      <c r="E373" s="1" t="n">
        <v>46249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46249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46249</v>
      </c>
      <c r="F375" t="inlineStr">
        <is>
          <t>JÖNKÖPINGS LÄN</t>
        </is>
      </c>
      <c r="G375" t="inlineStr">
        <is>
          <t>GISLAVED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46249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46249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46249</v>
      </c>
      <c r="F378" t="inlineStr">
        <is>
          <t>JÖNKÖPINGS LÄN</t>
        </is>
      </c>
      <c r="G378" t="inlineStr">
        <is>
          <t>GISLAVED</t>
        </is>
      </c>
      <c r="H378" t="inlineStr">
        <is>
          <t>Sveaskog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46249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46249</v>
      </c>
      <c r="F380" t="inlineStr">
        <is>
          <t>JÖNKÖPINGS LÄN</t>
        </is>
      </c>
      <c r="G380" t="inlineStr">
        <is>
          <t>GISLAVED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46249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46249</v>
      </c>
      <c r="F382" t="inlineStr">
        <is>
          <t>JÖNKÖPINGS LÄN</t>
        </is>
      </c>
      <c r="G382" t="inlineStr">
        <is>
          <t>GISLAVED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46249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46249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46249</v>
      </c>
      <c r="F385" t="inlineStr">
        <is>
          <t>JÖNKÖPINGS LÄN</t>
        </is>
      </c>
      <c r="G385" t="inlineStr">
        <is>
          <t>GISLAVED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49956-2021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44456</v>
      </c>
      <c r="E386" s="1" t="n">
        <v>46249</v>
      </c>
      <c r="F386" t="inlineStr">
        <is>
          <t>JÖNKÖPINGS LÄN</t>
        </is>
      </c>
      <c r="G386" t="inlineStr">
        <is>
          <t>GISLAVED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46249</v>
      </c>
      <c r="F387" t="inlineStr">
        <is>
          <t>JÖNKÖPINGS LÄN</t>
        </is>
      </c>
      <c r="G387" t="inlineStr">
        <is>
          <t>GISLAVED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46249</v>
      </c>
      <c r="F388" t="inlineStr">
        <is>
          <t>JÖNKÖPINGS LÄN</t>
        </is>
      </c>
      <c r="G388" t="inlineStr">
        <is>
          <t>GISLAVED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46249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46249</v>
      </c>
      <c r="F390" t="inlineStr">
        <is>
          <t>JÖNKÖPINGS LÄN</t>
        </is>
      </c>
      <c r="G390" t="inlineStr">
        <is>
          <t>GISLAVED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46249</v>
      </c>
      <c r="F391" t="inlineStr">
        <is>
          <t>JÖNKÖPINGS LÄN</t>
        </is>
      </c>
      <c r="G391" t="inlineStr">
        <is>
          <t>GISLAVED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46249</v>
      </c>
      <c r="F392" t="inlineStr">
        <is>
          <t>JÖNKÖPINGS LÄN</t>
        </is>
      </c>
      <c r="G392" t="inlineStr">
        <is>
          <t>GISLAVED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46249</v>
      </c>
      <c r="F393" t="inlineStr">
        <is>
          <t>JÖNKÖPINGS LÄN</t>
        </is>
      </c>
      <c r="G393" t="inlineStr">
        <is>
          <t>GISLAVED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45008</v>
      </c>
      <c r="E394" s="1" t="n">
        <v>46249</v>
      </c>
      <c r="F394" t="inlineStr">
        <is>
          <t>JÖNKÖPINGS LÄN</t>
        </is>
      </c>
      <c r="G394" t="inlineStr">
        <is>
          <t>GISLAVED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46249</v>
      </c>
      <c r="F395" t="inlineStr">
        <is>
          <t>JÖNKÖPINGS LÄN</t>
        </is>
      </c>
      <c r="G395" t="inlineStr">
        <is>
          <t>GISLAVED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46249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9911-2025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45717</v>
      </c>
      <c r="E397" s="1" t="n">
        <v>46249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46249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46249</v>
      </c>
      <c r="F399" t="inlineStr">
        <is>
          <t>JÖNKÖPINGS LÄN</t>
        </is>
      </c>
      <c r="G399" t="inlineStr">
        <is>
          <t>GISLAVED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46036</v>
      </c>
      <c r="E400" s="1" t="n">
        <v>46249</v>
      </c>
      <c r="F400" t="inlineStr">
        <is>
          <t>JÖNKÖPINGS LÄN</t>
        </is>
      </c>
      <c r="G400" t="inlineStr">
        <is>
          <t>GISLAVED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46249</v>
      </c>
      <c r="F401" t="inlineStr">
        <is>
          <t>JÖNKÖPINGS LÄN</t>
        </is>
      </c>
      <c r="G401" t="inlineStr">
        <is>
          <t>GISLAVED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58531-2021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44488</v>
      </c>
      <c r="E402" s="1" t="n">
        <v>46249</v>
      </c>
      <c r="F402" t="inlineStr">
        <is>
          <t>JÖNKÖPINGS LÄN</t>
        </is>
      </c>
      <c r="G402" t="inlineStr">
        <is>
          <t>GISLAVED</t>
        </is>
      </c>
      <c r="H402" t="inlineStr">
        <is>
          <t>Kyrkan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46249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14219-2023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45009</v>
      </c>
      <c r="E404" s="1" t="n">
        <v>46249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15462-2022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44662</v>
      </c>
      <c r="E405" s="1" t="n">
        <v>46249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46249</v>
      </c>
      <c r="F406" t="inlineStr">
        <is>
          <t>JÖNKÖPINGS LÄN</t>
        </is>
      </c>
      <c r="G406" t="inlineStr">
        <is>
          <t>GISLAVED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46249</v>
      </c>
      <c r="F407" t="inlineStr">
        <is>
          <t>JÖNKÖPINGS LÄN</t>
        </is>
      </c>
      <c r="G407" t="inlineStr">
        <is>
          <t>GISLAVED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46249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46249</v>
      </c>
      <c r="F409" t="inlineStr">
        <is>
          <t>JÖNKÖPINGS LÄN</t>
        </is>
      </c>
      <c r="G409" t="inlineStr">
        <is>
          <t>GISLAVED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44926</v>
      </c>
      <c r="E410" s="1" t="n">
        <v>46249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46249</v>
      </c>
      <c r="F411" t="inlineStr">
        <is>
          <t>JÖNKÖPINGS LÄN</t>
        </is>
      </c>
      <c r="G411" t="inlineStr">
        <is>
          <t>GISLAVED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30193-2022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44757</v>
      </c>
      <c r="E412" s="1" t="n">
        <v>46249</v>
      </c>
      <c r="F412" t="inlineStr">
        <is>
          <t>JÖNKÖPINGS LÄN</t>
        </is>
      </c>
      <c r="G412" t="inlineStr">
        <is>
          <t>GISLAVED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44949</v>
      </c>
      <c r="E413" s="1" t="n">
        <v>46249</v>
      </c>
      <c r="F413" t="inlineStr">
        <is>
          <t>JÖNKÖPINGS LÄN</t>
        </is>
      </c>
      <c r="G413" t="inlineStr">
        <is>
          <t>GISLAVED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46249</v>
      </c>
      <c r="F414" t="inlineStr">
        <is>
          <t>JÖNKÖPINGS LÄN</t>
        </is>
      </c>
      <c r="G414" t="inlineStr">
        <is>
          <t>GISLAVED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46249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46249</v>
      </c>
      <c r="F416" t="inlineStr">
        <is>
          <t>JÖNKÖPINGS LÄN</t>
        </is>
      </c>
      <c r="G416" t="inlineStr">
        <is>
          <t>GISLAVED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46249</v>
      </c>
      <c r="F417" t="inlineStr">
        <is>
          <t>JÖNKÖPINGS LÄN</t>
        </is>
      </c>
      <c r="G417" t="inlineStr">
        <is>
          <t>GISLAVED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46249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46249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46249</v>
      </c>
      <c r="F420" t="inlineStr">
        <is>
          <t>JÖNKÖPINGS LÄN</t>
        </is>
      </c>
      <c r="G420" t="inlineStr">
        <is>
          <t>GISLAVED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44711</v>
      </c>
      <c r="E421" s="1" t="n">
        <v>46249</v>
      </c>
      <c r="F421" t="inlineStr">
        <is>
          <t>JÖNKÖPINGS LÄN</t>
        </is>
      </c>
      <c r="G421" t="inlineStr">
        <is>
          <t>GISLAVED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46249</v>
      </c>
      <c r="F422" t="inlineStr">
        <is>
          <t>JÖNKÖPINGS LÄN</t>
        </is>
      </c>
      <c r="G422" t="inlineStr">
        <is>
          <t>GISLAVED</t>
        </is>
      </c>
      <c r="H422" t="inlineStr">
        <is>
          <t>Kyrkan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46249</v>
      </c>
      <c r="F423" t="inlineStr">
        <is>
          <t>JÖNKÖPINGS LÄN</t>
        </is>
      </c>
      <c r="G423" t="inlineStr">
        <is>
          <t>GISLAVED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46249</v>
      </c>
      <c r="F424" t="inlineStr">
        <is>
          <t>JÖNKÖPINGS LÄN</t>
        </is>
      </c>
      <c r="G424" t="inlineStr">
        <is>
          <t>GISLAVED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46249</v>
      </c>
      <c r="F425" t="inlineStr">
        <is>
          <t>JÖNKÖPINGS LÄN</t>
        </is>
      </c>
      <c r="G425" t="inlineStr">
        <is>
          <t>GISLAVED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46249</v>
      </c>
      <c r="F426" t="inlineStr">
        <is>
          <t>JÖNKÖPINGS LÄN</t>
        </is>
      </c>
      <c r="G426" t="inlineStr">
        <is>
          <t>GISLAVED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46249</v>
      </c>
      <c r="F427" t="inlineStr">
        <is>
          <t>JÖNKÖPINGS LÄN</t>
        </is>
      </c>
      <c r="G427" t="inlineStr">
        <is>
          <t>GISLAVED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46249</v>
      </c>
      <c r="F428" t="inlineStr">
        <is>
          <t>JÖNKÖPINGS LÄN</t>
        </is>
      </c>
      <c r="G428" t="inlineStr">
        <is>
          <t>GISLAVED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46249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46249</v>
      </c>
      <c r="F430" t="inlineStr">
        <is>
          <t>JÖNKÖPINGS LÄN</t>
        </is>
      </c>
      <c r="G430" t="inlineStr">
        <is>
          <t>GISLAVED</t>
        </is>
      </c>
      <c r="H430" t="inlineStr">
        <is>
          <t>Kommuner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46249</v>
      </c>
      <c r="F431" t="inlineStr">
        <is>
          <t>JÖNKÖPINGS LÄN</t>
        </is>
      </c>
      <c r="G431" t="inlineStr">
        <is>
          <t>GISLAVED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46249</v>
      </c>
      <c r="F432" t="inlineStr">
        <is>
          <t>JÖNKÖPINGS LÄN</t>
        </is>
      </c>
      <c r="G432" t="inlineStr">
        <is>
          <t>GISLAVED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46249</v>
      </c>
      <c r="F433" t="inlineStr">
        <is>
          <t>JÖNKÖPINGS LÄN</t>
        </is>
      </c>
      <c r="G433" t="inlineStr">
        <is>
          <t>GISLAVED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46051</v>
      </c>
      <c r="E434" s="1" t="n">
        <v>46249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45097</v>
      </c>
      <c r="E435" s="1" t="n">
        <v>46249</v>
      </c>
      <c r="F435" t="inlineStr">
        <is>
          <t>JÖNKÖPINGS LÄN</t>
        </is>
      </c>
      <c r="G435" t="inlineStr">
        <is>
          <t>GISLAVED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56945-2022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46249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45509</v>
      </c>
      <c r="E437" s="1" t="n">
        <v>46249</v>
      </c>
      <c r="F437" t="inlineStr">
        <is>
          <t>JÖNKÖPINGS LÄN</t>
        </is>
      </c>
      <c r="G437" t="inlineStr">
        <is>
          <t>GISLAVED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44931</v>
      </c>
      <c r="E438" s="1" t="n">
        <v>46249</v>
      </c>
      <c r="F438" t="inlineStr">
        <is>
          <t>JÖNKÖPINGS LÄN</t>
        </is>
      </c>
      <c r="G438" t="inlineStr">
        <is>
          <t>GISLAVED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44931</v>
      </c>
      <c r="E439" s="1" t="n">
        <v>46249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46249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46249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46249</v>
      </c>
      <c r="F442" t="inlineStr">
        <is>
          <t>JÖNKÖPINGS LÄN</t>
        </is>
      </c>
      <c r="G442" t="inlineStr">
        <is>
          <t>GISLAVED</t>
        </is>
      </c>
      <c r="H442" t="inlineStr">
        <is>
          <t>Kommuner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47215-2025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46249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44615</v>
      </c>
      <c r="E444" s="1" t="n">
        <v>46249</v>
      </c>
      <c r="F444" t="inlineStr">
        <is>
          <t>JÖNKÖPINGS LÄN</t>
        </is>
      </c>
      <c r="G444" t="inlineStr">
        <is>
          <t>GISLAVED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46249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46249</v>
      </c>
      <c r="F446" t="inlineStr">
        <is>
          <t>JÖNKÖPINGS LÄN</t>
        </is>
      </c>
      <c r="G446" t="inlineStr">
        <is>
          <t>GISLAVED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46249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46249</v>
      </c>
      <c r="F448" t="inlineStr">
        <is>
          <t>JÖNKÖPINGS LÄN</t>
        </is>
      </c>
      <c r="G448" t="inlineStr">
        <is>
          <t>GISLAVED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46249</v>
      </c>
      <c r="F449" t="inlineStr">
        <is>
          <t>JÖNKÖPINGS LÄN</t>
        </is>
      </c>
      <c r="G449" t="inlineStr">
        <is>
          <t>GISLAVED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46249</v>
      </c>
      <c r="F450" t="inlineStr">
        <is>
          <t>JÖNKÖPINGS LÄN</t>
        </is>
      </c>
      <c r="G450" t="inlineStr">
        <is>
          <t>GISLAVED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45770</v>
      </c>
      <c r="E451" s="1" t="n">
        <v>46249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37592-2025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46249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46249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46249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45534</v>
      </c>
      <c r="E455" s="1" t="n">
        <v>46249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45675</v>
      </c>
      <c r="E456" s="1" t="n">
        <v>46249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45783</v>
      </c>
      <c r="E457" s="1" t="n">
        <v>46249</v>
      </c>
      <c r="F457" t="inlineStr">
        <is>
          <t>JÖNKÖPINGS LÄN</t>
        </is>
      </c>
      <c r="G457" t="inlineStr">
        <is>
          <t>GISLAVED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46249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46249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46249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46249</v>
      </c>
      <c r="F461" t="inlineStr">
        <is>
          <t>JÖNKÖPINGS LÄN</t>
        </is>
      </c>
      <c r="G461" t="inlineStr">
        <is>
          <t>GISLAVED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46249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46249</v>
      </c>
      <c r="F463" t="inlineStr">
        <is>
          <t>JÖNKÖPINGS LÄN</t>
        </is>
      </c>
      <c r="G463" t="inlineStr">
        <is>
          <t>GISLAVED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46249</v>
      </c>
      <c r="F464" t="inlineStr">
        <is>
          <t>JÖNKÖPINGS LÄN</t>
        </is>
      </c>
      <c r="G464" t="inlineStr">
        <is>
          <t>GISLAVED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46249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44776</v>
      </c>
      <c r="E466" s="1" t="n">
        <v>46249</v>
      </c>
      <c r="F466" t="inlineStr">
        <is>
          <t>JÖNKÖPINGS LÄN</t>
        </is>
      </c>
      <c r="G466" t="inlineStr">
        <is>
          <t>GISLAVED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61916-2021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46249</v>
      </c>
      <c r="F467" t="inlineStr">
        <is>
          <t>JÖNKÖPINGS LÄN</t>
        </is>
      </c>
      <c r="G467" t="inlineStr">
        <is>
          <t>GISLAVED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61922-2021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44501</v>
      </c>
      <c r="E468" s="1" t="n">
        <v>46249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46249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45100</v>
      </c>
      <c r="E470" s="1" t="n">
        <v>46249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57426-2022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46249</v>
      </c>
      <c r="F471" t="inlineStr">
        <is>
          <t>JÖNKÖPINGS LÄN</t>
        </is>
      </c>
      <c r="G471" t="inlineStr">
        <is>
          <t>GISLAVED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45174</v>
      </c>
      <c r="E472" s="1" t="n">
        <v>46249</v>
      </c>
      <c r="F472" t="inlineStr">
        <is>
          <t>JÖNKÖPINGS LÄN</t>
        </is>
      </c>
      <c r="G472" t="inlineStr">
        <is>
          <t>GISLAVED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46249</v>
      </c>
      <c r="F473" t="inlineStr">
        <is>
          <t>JÖNKÖPINGS LÄN</t>
        </is>
      </c>
      <c r="G473" t="inlineStr">
        <is>
          <t>GISLAVED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44742-2023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45190</v>
      </c>
      <c r="E474" s="1" t="n">
        <v>46249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44449</v>
      </c>
      <c r="E475" s="1" t="n">
        <v>46249</v>
      </c>
      <c r="F475" t="inlineStr">
        <is>
          <t>JÖNKÖPINGS LÄN</t>
        </is>
      </c>
      <c r="G475" t="inlineStr">
        <is>
          <t>GISLAVED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46249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46249</v>
      </c>
      <c r="F477" t="inlineStr">
        <is>
          <t>JÖNKÖPINGS LÄN</t>
        </is>
      </c>
      <c r="G477" t="inlineStr">
        <is>
          <t>GISLAVED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45320</v>
      </c>
      <c r="E478" s="1" t="n">
        <v>46249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46249</v>
      </c>
      <c r="F479" t="inlineStr">
        <is>
          <t>JÖNKÖPINGS LÄN</t>
        </is>
      </c>
      <c r="G479" t="inlineStr">
        <is>
          <t>GISLAVED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46249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46249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8.300000000000001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46249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46249</v>
      </c>
      <c r="F483" t="inlineStr">
        <is>
          <t>JÖNKÖPINGS LÄN</t>
        </is>
      </c>
      <c r="G483" t="inlineStr">
        <is>
          <t>GISLAVED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44867</v>
      </c>
      <c r="E484" s="1" t="n">
        <v>46249</v>
      </c>
      <c r="F484" t="inlineStr">
        <is>
          <t>JÖNKÖPINGS LÄN</t>
        </is>
      </c>
      <c r="G484" t="inlineStr">
        <is>
          <t>GISLAVED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45213-2023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45191</v>
      </c>
      <c r="E485" s="1" t="n">
        <v>46249</v>
      </c>
      <c r="F485" t="inlineStr">
        <is>
          <t>JÖNKÖPINGS LÄN</t>
        </is>
      </c>
      <c r="G485" t="inlineStr">
        <is>
          <t>GISLAVED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46249</v>
      </c>
      <c r="F486" t="inlineStr">
        <is>
          <t>JÖNKÖPINGS LÄN</t>
        </is>
      </c>
      <c r="G486" t="inlineStr">
        <is>
          <t>GISLAVED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46249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35948-2022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46249</v>
      </c>
      <c r="F488" t="inlineStr">
        <is>
          <t>JÖNKÖPINGS LÄN</t>
        </is>
      </c>
      <c r="G488" t="inlineStr">
        <is>
          <t>GISLAVED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57698-2022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44883</v>
      </c>
      <c r="E489" s="1" t="n">
        <v>46249</v>
      </c>
      <c r="F489" t="inlineStr">
        <is>
          <t>JÖNKÖPINGS LÄN</t>
        </is>
      </c>
      <c r="G489" t="inlineStr">
        <is>
          <t>GISLAVED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45573</v>
      </c>
      <c r="E490" s="1" t="n">
        <v>46249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46249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45709</v>
      </c>
      <c r="E492" s="1" t="n">
        <v>46249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45349</v>
      </c>
      <c r="E493" s="1" t="n">
        <v>46249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46249</v>
      </c>
      <c r="F494" t="inlineStr">
        <is>
          <t>JÖNKÖPINGS LÄN</t>
        </is>
      </c>
      <c r="G494" t="inlineStr">
        <is>
          <t>GISLAVED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46249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45468</v>
      </c>
      <c r="E496" s="1" t="n">
        <v>46249</v>
      </c>
      <c r="F496" t="inlineStr">
        <is>
          <t>JÖNKÖPINGS LÄN</t>
        </is>
      </c>
      <c r="G496" t="inlineStr">
        <is>
          <t>GISLAVED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45118</v>
      </c>
      <c r="E497" s="1" t="n">
        <v>46249</v>
      </c>
      <c r="F497" t="inlineStr">
        <is>
          <t>JÖNKÖPINGS LÄN</t>
        </is>
      </c>
      <c r="G497" t="inlineStr">
        <is>
          <t>GISLAVED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51500-2023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46249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61688-2022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44917</v>
      </c>
      <c r="E499" s="1" t="n">
        <v>46249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46249</v>
      </c>
      <c r="F500" t="inlineStr">
        <is>
          <t>JÖNKÖPINGS LÄN</t>
        </is>
      </c>
      <c r="G500" t="inlineStr">
        <is>
          <t>GISLAVED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45495</v>
      </c>
      <c r="E501" s="1" t="n">
        <v>46249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44931</v>
      </c>
      <c r="E502" s="1" t="n">
        <v>46249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46249</v>
      </c>
      <c r="F503" t="inlineStr">
        <is>
          <t>JÖNKÖPINGS LÄN</t>
        </is>
      </c>
      <c r="G503" t="inlineStr">
        <is>
          <t>GISLAVED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44624</v>
      </c>
      <c r="E504" s="1" t="n">
        <v>46249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44971</v>
      </c>
      <c r="E505" s="1" t="n">
        <v>46249</v>
      </c>
      <c r="F505" t="inlineStr">
        <is>
          <t>JÖNKÖPINGS LÄN</t>
        </is>
      </c>
      <c r="G505" t="inlineStr">
        <is>
          <t>GISLAVED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7510-2023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44971</v>
      </c>
      <c r="E506" s="1" t="n">
        <v>46249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45635</v>
      </c>
      <c r="E507" s="1" t="n">
        <v>46249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46249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46249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46249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46249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44974</v>
      </c>
      <c r="E512" s="1" t="n">
        <v>46249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46249</v>
      </c>
      <c r="F513" t="inlineStr">
        <is>
          <t>JÖNKÖPINGS LÄN</t>
        </is>
      </c>
      <c r="G513" t="inlineStr">
        <is>
          <t>GISLAVED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46156</v>
      </c>
      <c r="E514" s="1" t="n">
        <v>46249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46156</v>
      </c>
      <c r="E515" s="1" t="n">
        <v>46249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3072-2025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45678</v>
      </c>
      <c r="E516" s="1" t="n">
        <v>46249</v>
      </c>
      <c r="F516" t="inlineStr">
        <is>
          <t>JÖNKÖPINGS LÄN</t>
        </is>
      </c>
      <c r="G516" t="inlineStr">
        <is>
          <t>GISLAVED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46249</v>
      </c>
      <c r="F517" t="inlineStr">
        <is>
          <t>JÖNKÖPINGS LÄN</t>
        </is>
      </c>
      <c r="G517" t="inlineStr">
        <is>
          <t>GISLAVED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46249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42266-2024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46249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46249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46156</v>
      </c>
      <c r="E521" s="1" t="n">
        <v>46249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46249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73551-2021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44551</v>
      </c>
      <c r="E523" s="1" t="n">
        <v>46249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45682</v>
      </c>
      <c r="E524" s="1" t="n">
        <v>46249</v>
      </c>
      <c r="F524" t="inlineStr">
        <is>
          <t>JÖNKÖPINGS LÄN</t>
        </is>
      </c>
      <c r="G524" t="inlineStr">
        <is>
          <t>GISLAVED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46249</v>
      </c>
      <c r="F525" t="inlineStr">
        <is>
          <t>JÖNKÖPINGS LÄN</t>
        </is>
      </c>
      <c r="G525" t="inlineStr">
        <is>
          <t>GISLAVED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46249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73908-2021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44553</v>
      </c>
      <c r="E527" s="1" t="n">
        <v>46249</v>
      </c>
      <c r="F527" t="inlineStr">
        <is>
          <t>JÖNKÖPINGS LÄN</t>
        </is>
      </c>
      <c r="G527" t="inlineStr">
        <is>
          <t>GISLAVED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51087-2024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46249</v>
      </c>
      <c r="F528" t="inlineStr">
        <is>
          <t>JÖNKÖPINGS LÄN</t>
        </is>
      </c>
      <c r="G528" t="inlineStr">
        <is>
          <t>GISLAVED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46249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46249</v>
      </c>
      <c r="F530" t="inlineStr">
        <is>
          <t>JÖNKÖPINGS LÄN</t>
        </is>
      </c>
      <c r="G530" t="inlineStr">
        <is>
          <t>GISLAVED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60261-2022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44910</v>
      </c>
      <c r="E531" s="1" t="n">
        <v>46249</v>
      </c>
      <c r="F531" t="inlineStr">
        <is>
          <t>JÖNKÖPINGS LÄN</t>
        </is>
      </c>
      <c r="G531" t="inlineStr">
        <is>
          <t>GISLAVED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46249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45484</v>
      </c>
      <c r="E533" s="1" t="n">
        <v>46249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46249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46249</v>
      </c>
      <c r="F535" t="inlineStr">
        <is>
          <t>JÖNKÖPINGS LÄN</t>
        </is>
      </c>
      <c r="G535" t="inlineStr">
        <is>
          <t>GISLAVED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45337</v>
      </c>
      <c r="E536" s="1" t="n">
        <v>46249</v>
      </c>
      <c r="F536" t="inlineStr">
        <is>
          <t>JÖNKÖPINGS LÄN</t>
        </is>
      </c>
      <c r="G536" t="inlineStr">
        <is>
          <t>GISLAVED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46249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46249</v>
      </c>
      <c r="F538" t="inlineStr">
        <is>
          <t>JÖNKÖPINGS LÄN</t>
        </is>
      </c>
      <c r="G538" t="inlineStr">
        <is>
          <t>GISLAVED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46249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46249</v>
      </c>
      <c r="F540" t="inlineStr">
        <is>
          <t>JÖNKÖPINGS LÄN</t>
        </is>
      </c>
      <c r="G540" t="inlineStr">
        <is>
          <t>GISLAVED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46249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45167</v>
      </c>
      <c r="E542" s="1" t="n">
        <v>46249</v>
      </c>
      <c r="F542" t="inlineStr">
        <is>
          <t>JÖNKÖPINGS LÄN</t>
        </is>
      </c>
      <c r="G542" t="inlineStr">
        <is>
          <t>GISLAVED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46249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46249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46249</v>
      </c>
      <c r="F545" t="inlineStr">
        <is>
          <t>JÖNKÖPINGS LÄN</t>
        </is>
      </c>
      <c r="G545" t="inlineStr">
        <is>
          <t>GISLAVED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46249</v>
      </c>
      <c r="F546" t="inlineStr">
        <is>
          <t>JÖNKÖPINGS LÄN</t>
        </is>
      </c>
      <c r="G546" t="inlineStr">
        <is>
          <t>GISLAVED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45482</v>
      </c>
      <c r="E547" s="1" t="n">
        <v>46249</v>
      </c>
      <c r="F547" t="inlineStr">
        <is>
          <t>JÖNKÖPINGS LÄN</t>
        </is>
      </c>
      <c r="G547" t="inlineStr">
        <is>
          <t>GISLAVED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46249</v>
      </c>
      <c r="F548" t="inlineStr">
        <is>
          <t>JÖNKÖPINGS LÄN</t>
        </is>
      </c>
      <c r="G548" t="inlineStr">
        <is>
          <t>GISLAVED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45637</v>
      </c>
      <c r="E549" s="1" t="n">
        <v>46249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46249</v>
      </c>
      <c r="F550" t="inlineStr">
        <is>
          <t>JÖNKÖPINGS LÄN</t>
        </is>
      </c>
      <c r="G550" t="inlineStr">
        <is>
          <t>GISLAVED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53645-2024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46249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58955-2021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44489</v>
      </c>
      <c r="E552" s="1" t="n">
        <v>46249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46249</v>
      </c>
      <c r="F553" t="inlineStr">
        <is>
          <t>JÖNKÖPINGS LÄN</t>
        </is>
      </c>
      <c r="G553" t="inlineStr">
        <is>
          <t>GISLAVED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45666</v>
      </c>
      <c r="E554" s="1" t="n">
        <v>46249</v>
      </c>
      <c r="F554" t="inlineStr">
        <is>
          <t>JÖNKÖPINGS LÄN</t>
        </is>
      </c>
      <c r="G554" t="inlineStr">
        <is>
          <t>GISLAVED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46249</v>
      </c>
      <c r="F555" t="inlineStr">
        <is>
          <t>JÖNKÖPINGS LÄN</t>
        </is>
      </c>
      <c r="G555" t="inlineStr">
        <is>
          <t>GISLAVED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45511</v>
      </c>
      <c r="E556" s="1" t="n">
        <v>46249</v>
      </c>
      <c r="F556" t="inlineStr">
        <is>
          <t>JÖNKÖPINGS LÄN</t>
        </is>
      </c>
      <c r="G556" t="inlineStr">
        <is>
          <t>GISLAVED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46249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46249</v>
      </c>
      <c r="F558" t="inlineStr">
        <is>
          <t>JÖNKÖPINGS LÄN</t>
        </is>
      </c>
      <c r="G558" t="inlineStr">
        <is>
          <t>GISLAVED</t>
        </is>
      </c>
      <c r="H558" t="inlineStr">
        <is>
          <t>Kyrkan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54223-2024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46249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46249</v>
      </c>
      <c r="F560" t="inlineStr">
        <is>
          <t>JÖNKÖPINGS LÄN</t>
        </is>
      </c>
      <c r="G560" t="inlineStr">
        <is>
          <t>GISLAVED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46249</v>
      </c>
      <c r="F561" t="inlineStr">
        <is>
          <t>JÖNKÖPINGS LÄN</t>
        </is>
      </c>
      <c r="G561" t="inlineStr">
        <is>
          <t>GISLAVED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74259-2021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44558</v>
      </c>
      <c r="E562" s="1" t="n">
        <v>46249</v>
      </c>
      <c r="F562" t="inlineStr">
        <is>
          <t>JÖNKÖPINGS LÄN</t>
        </is>
      </c>
      <c r="G562" t="inlineStr">
        <is>
          <t>GISLAVED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46249</v>
      </c>
      <c r="F563" t="inlineStr">
        <is>
          <t>JÖNKÖPINGS LÄN</t>
        </is>
      </c>
      <c r="G563" t="inlineStr">
        <is>
          <t>GISLAVED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45702</v>
      </c>
      <c r="E564" s="1" t="n">
        <v>46249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46249</v>
      </c>
      <c r="F565" t="inlineStr">
        <is>
          <t>JÖNKÖPINGS LÄN</t>
        </is>
      </c>
      <c r="G565" t="inlineStr">
        <is>
          <t>GISLAVED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46249</v>
      </c>
      <c r="F566" t="inlineStr">
        <is>
          <t>JÖNKÖPINGS LÄN</t>
        </is>
      </c>
      <c r="G566" t="inlineStr">
        <is>
          <t>GISLAVED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44873</v>
      </c>
      <c r="E567" s="1" t="n">
        <v>46249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44977</v>
      </c>
      <c r="E568" s="1" t="n">
        <v>46249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46249</v>
      </c>
      <c r="F569" t="inlineStr">
        <is>
          <t>JÖNKÖPINGS LÄN</t>
        </is>
      </c>
      <c r="G569" t="inlineStr">
        <is>
          <t>GISLAVED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60966-2021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46249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45177</v>
      </c>
      <c r="E571" s="1" t="n">
        <v>46249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46249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46249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46249</v>
      </c>
      <c r="F574" t="inlineStr">
        <is>
          <t>JÖNKÖPINGS LÄN</t>
        </is>
      </c>
      <c r="G574" t="inlineStr">
        <is>
          <t>GISLAVED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45481</v>
      </c>
      <c r="E575" s="1" t="n">
        <v>46249</v>
      </c>
      <c r="F575" t="inlineStr">
        <is>
          <t>JÖNKÖPINGS LÄN</t>
        </is>
      </c>
      <c r="G575" t="inlineStr">
        <is>
          <t>GISLAVED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45792</v>
      </c>
      <c r="E576" s="1" t="n">
        <v>46249</v>
      </c>
      <c r="F576" t="inlineStr">
        <is>
          <t>JÖNKÖPINGS LÄN</t>
        </is>
      </c>
      <c r="G576" t="inlineStr">
        <is>
          <t>GISLAVED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46249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44581</v>
      </c>
      <c r="E578" s="1" t="n">
        <v>46249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46249</v>
      </c>
      <c r="F579" t="inlineStr">
        <is>
          <t>JÖNKÖPINGS LÄN</t>
        </is>
      </c>
      <c r="G579" t="inlineStr">
        <is>
          <t>GISLAVED</t>
        </is>
      </c>
      <c r="H579" t="inlineStr">
        <is>
          <t>Kommuner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46249</v>
      </c>
      <c r="F580" t="inlineStr">
        <is>
          <t>JÖNKÖPINGS LÄN</t>
        </is>
      </c>
      <c r="G580" t="inlineStr">
        <is>
          <t>GISLAVED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45729</v>
      </c>
      <c r="E581" s="1" t="n">
        <v>46249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46249</v>
      </c>
      <c r="F582" t="inlineStr">
        <is>
          <t>JÖNKÖPINGS LÄN</t>
        </is>
      </c>
      <c r="G582" t="inlineStr">
        <is>
          <t>GISLAVED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45494</v>
      </c>
      <c r="E583" s="1" t="n">
        <v>46249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46249</v>
      </c>
      <c r="F584" t="inlineStr">
        <is>
          <t>JÖNKÖPINGS LÄN</t>
        </is>
      </c>
      <c r="G584" t="inlineStr">
        <is>
          <t>GISLAVED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11912-2025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45728</v>
      </c>
      <c r="E585" s="1" t="n">
        <v>46249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11905-2025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45728</v>
      </c>
      <c r="E586" s="1" t="n">
        <v>46249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45735</v>
      </c>
      <c r="E587" s="1" t="n">
        <v>46249</v>
      </c>
      <c r="F587" t="inlineStr">
        <is>
          <t>JÖNKÖPINGS LÄN</t>
        </is>
      </c>
      <c r="G587" t="inlineStr">
        <is>
          <t>GISLAVED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46249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46249</v>
      </c>
      <c r="F589" t="inlineStr">
        <is>
          <t>JÖNKÖPINGS LÄN</t>
        </is>
      </c>
      <c r="G589" t="inlineStr">
        <is>
          <t>GISLAVED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13311-2025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45735</v>
      </c>
      <c r="E590" s="1" t="n">
        <v>46249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46249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45484</v>
      </c>
      <c r="E592" s="1" t="n">
        <v>46249</v>
      </c>
      <c r="F592" t="inlineStr">
        <is>
          <t>JÖNKÖPINGS LÄN</t>
        </is>
      </c>
      <c r="G592" t="inlineStr">
        <is>
          <t>GISLAVED</t>
        </is>
      </c>
      <c r="H592" t="inlineStr">
        <is>
          <t>Kyrkan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46249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46249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46956-2024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45585</v>
      </c>
      <c r="E595" s="1" t="n">
        <v>46249</v>
      </c>
      <c r="F595" t="inlineStr">
        <is>
          <t>JÖNKÖPINGS LÄN</t>
        </is>
      </c>
      <c r="G595" t="inlineStr">
        <is>
          <t>GISLAVED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46249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46249</v>
      </c>
      <c r="F597" t="inlineStr">
        <is>
          <t>JÖNKÖPINGS LÄN</t>
        </is>
      </c>
      <c r="G597" t="inlineStr">
        <is>
          <t>GISLAVED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46249</v>
      </c>
      <c r="F598" t="inlineStr">
        <is>
          <t>JÖNKÖPINGS LÄN</t>
        </is>
      </c>
      <c r="G598" t="inlineStr">
        <is>
          <t>GISLAVED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46249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46249</v>
      </c>
      <c r="F600" t="inlineStr">
        <is>
          <t>JÖNKÖPINGS LÄN</t>
        </is>
      </c>
      <c r="G600" t="inlineStr">
        <is>
          <t>GISLAVED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46249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46249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45054</v>
      </c>
      <c r="E603" s="1" t="n">
        <v>46249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46249</v>
      </c>
      <c r="F604" t="inlineStr">
        <is>
          <t>JÖNKÖPINGS LÄN</t>
        </is>
      </c>
      <c r="G604" t="inlineStr">
        <is>
          <t>GISLAVED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46249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45678</v>
      </c>
      <c r="E606" s="1" t="n">
        <v>46249</v>
      </c>
      <c r="F606" t="inlineStr">
        <is>
          <t>JÖNKÖPINGS LÄN</t>
        </is>
      </c>
      <c r="G606" t="inlineStr">
        <is>
          <t>GISLAVED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46249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25967-2025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46249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45719</v>
      </c>
      <c r="E609" s="1" t="n">
        <v>46249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46249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44578</v>
      </c>
      <c r="E611" s="1" t="n">
        <v>46249</v>
      </c>
      <c r="F611" t="inlineStr">
        <is>
          <t>JÖNKÖPINGS LÄN</t>
        </is>
      </c>
      <c r="G611" t="inlineStr">
        <is>
          <t>GISLAVED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46249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45503</v>
      </c>
      <c r="E613" s="1" t="n">
        <v>46249</v>
      </c>
      <c r="F613" t="inlineStr">
        <is>
          <t>JÖNKÖPINGS LÄN</t>
        </is>
      </c>
      <c r="G613" t="inlineStr">
        <is>
          <t>GISLAVED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46249</v>
      </c>
      <c r="F614" t="inlineStr">
        <is>
          <t>JÖNKÖPINGS LÄN</t>
        </is>
      </c>
      <c r="G614" t="inlineStr">
        <is>
          <t>GISLAVED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46249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46249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26625-2025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45810</v>
      </c>
      <c r="E617" s="1" t="n">
        <v>46249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46249</v>
      </c>
      <c r="F618" t="inlineStr">
        <is>
          <t>JÖNKÖPINGS LÄN</t>
        </is>
      </c>
      <c r="G618" t="inlineStr">
        <is>
          <t>GISLAVED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54383-2024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45617</v>
      </c>
      <c r="E619" s="1" t="n">
        <v>46249</v>
      </c>
      <c r="F619" t="inlineStr">
        <is>
          <t>JÖNKÖPINGS LÄN</t>
        </is>
      </c>
      <c r="G619" t="inlineStr">
        <is>
          <t>GISLAVED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46249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45198</v>
      </c>
      <c r="E621" s="1" t="n">
        <v>46249</v>
      </c>
      <c r="F621" t="inlineStr">
        <is>
          <t>JÖNKÖPINGS LÄN</t>
        </is>
      </c>
      <c r="G621" t="inlineStr">
        <is>
          <t>GISLAVED</t>
        </is>
      </c>
      <c r="H621" t="inlineStr">
        <is>
          <t>Kyrkan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46249</v>
      </c>
      <c r="F622" t="inlineStr">
        <is>
          <t>JÖNKÖPINGS LÄN</t>
        </is>
      </c>
      <c r="G622" t="inlineStr">
        <is>
          <t>GISLAVED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45810</v>
      </c>
      <c r="E623" s="1" t="n">
        <v>46249</v>
      </c>
      <c r="F623" t="inlineStr">
        <is>
          <t>JÖNKÖPINGS LÄN</t>
        </is>
      </c>
      <c r="G623" t="inlineStr">
        <is>
          <t>GISLAVED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46249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4660-2024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45328</v>
      </c>
      <c r="E625" s="1" t="n">
        <v>46249</v>
      </c>
      <c r="F625" t="inlineStr">
        <is>
          <t>JÖNKÖPINGS LÄN</t>
        </is>
      </c>
      <c r="G625" t="inlineStr">
        <is>
          <t>GISLAVED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44469-2023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46249</v>
      </c>
      <c r="F626" t="inlineStr">
        <is>
          <t>JÖNKÖPINGS LÄN</t>
        </is>
      </c>
      <c r="G626" t="inlineStr">
        <is>
          <t>GISLAVED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45545</v>
      </c>
      <c r="E627" s="1" t="n">
        <v>46249</v>
      </c>
      <c r="F627" t="inlineStr">
        <is>
          <t>JÖNKÖPINGS LÄN</t>
        </is>
      </c>
      <c r="G627" t="inlineStr">
        <is>
          <t>GISLAVED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46249</v>
      </c>
      <c r="F628" t="inlineStr">
        <is>
          <t>JÖNKÖPINGS LÄN</t>
        </is>
      </c>
      <c r="G628" t="inlineStr">
        <is>
          <t>GISLAVED</t>
        </is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45812</v>
      </c>
      <c r="E629" s="1" t="n">
        <v>46249</v>
      </c>
      <c r="F629" t="inlineStr">
        <is>
          <t>JÖNKÖPINGS LÄN</t>
        </is>
      </c>
      <c r="G629" t="inlineStr">
        <is>
          <t>GISLAVED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45812</v>
      </c>
      <c r="E630" s="1" t="n">
        <v>46249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45813</v>
      </c>
      <c r="E631" s="1" t="n">
        <v>46249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27598-2025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45813</v>
      </c>
      <c r="E632" s="1" t="n">
        <v>46249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45753</v>
      </c>
      <c r="E633" s="1" t="n">
        <v>46249</v>
      </c>
      <c r="F633" t="inlineStr">
        <is>
          <t>JÖNKÖPINGS LÄN</t>
        </is>
      </c>
      <c r="G633" t="inlineStr">
        <is>
          <t>GISLAVED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46249</v>
      </c>
      <c r="F634" t="inlineStr">
        <is>
          <t>JÖNKÖPINGS LÄN</t>
        </is>
      </c>
      <c r="G634" t="inlineStr">
        <is>
          <t>GISLAVED</t>
        </is>
      </c>
      <c r="H634" t="inlineStr">
        <is>
          <t>Kyrkan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45748</v>
      </c>
      <c r="E635" s="1" t="n">
        <v>46249</v>
      </c>
      <c r="F635" t="inlineStr">
        <is>
          <t>JÖNKÖPINGS LÄN</t>
        </is>
      </c>
      <c r="G635" t="inlineStr">
        <is>
          <t>GISLAVED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44606</v>
      </c>
      <c r="E636" s="1" t="n">
        <v>46249</v>
      </c>
      <c r="F636" t="inlineStr">
        <is>
          <t>JÖNKÖPINGS LÄN</t>
        </is>
      </c>
      <c r="G636" t="inlineStr">
        <is>
          <t>GISLAVED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47725-2023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45198</v>
      </c>
      <c r="E637" s="1" t="n">
        <v>46249</v>
      </c>
      <c r="F637" t="inlineStr">
        <is>
          <t>JÖNKÖPINGS LÄN</t>
        </is>
      </c>
      <c r="G637" t="inlineStr">
        <is>
          <t>GISLAVED</t>
        </is>
      </c>
      <c r="H637" t="inlineStr">
        <is>
          <t>Kyrkan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45730</v>
      </c>
      <c r="E638" s="1" t="n">
        <v>46249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45819</v>
      </c>
      <c r="E639" s="1" t="n">
        <v>46249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45169</v>
      </c>
      <c r="E640" s="1" t="n">
        <v>46249</v>
      </c>
      <c r="F640" t="inlineStr">
        <is>
          <t>JÖNKÖPINGS LÄN</t>
        </is>
      </c>
      <c r="G640" t="inlineStr">
        <is>
          <t>GISLAVED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28810-2025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45820</v>
      </c>
      <c r="E641" s="1" t="n">
        <v>46249</v>
      </c>
      <c r="F641" t="inlineStr">
        <is>
          <t>JÖNKÖPINGS LÄN</t>
        </is>
      </c>
      <c r="G641" t="inlineStr">
        <is>
          <t>GISLAVED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44594</v>
      </c>
      <c r="E642" s="1" t="n">
        <v>46249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28402-2023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45100</v>
      </c>
      <c r="E643" s="1" t="n">
        <v>46249</v>
      </c>
      <c r="F643" t="inlineStr">
        <is>
          <t>JÖNKÖPINGS LÄN</t>
        </is>
      </c>
      <c r="G643" t="inlineStr">
        <is>
          <t>GISLAVED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53311-2024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45614</v>
      </c>
      <c r="E644" s="1" t="n">
        <v>46249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45231</v>
      </c>
      <c r="E645" s="1" t="n">
        <v>46249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46230</v>
      </c>
      <c r="E646" s="1" t="n">
        <v>46249</v>
      </c>
      <c r="F646" t="inlineStr">
        <is>
          <t>JÖNKÖPINGS LÄN</t>
        </is>
      </c>
      <c r="G646" t="inlineStr">
        <is>
          <t>GISLAVED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46230</v>
      </c>
      <c r="E647" s="1" t="n">
        <v>46249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45824</v>
      </c>
      <c r="E648" s="1" t="n">
        <v>46249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29842-2025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45826</v>
      </c>
      <c r="E649" s="1" t="n">
        <v>46249</v>
      </c>
      <c r="F649" t="inlineStr">
        <is>
          <t>JÖNKÖPINGS LÄN</t>
        </is>
      </c>
      <c r="G649" t="inlineStr">
        <is>
          <t>GISLAVED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29715-2025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45825</v>
      </c>
      <c r="E650" s="1" t="n">
        <v>46249</v>
      </c>
      <c r="F650" t="inlineStr">
        <is>
          <t>JÖNKÖPINGS LÄN</t>
        </is>
      </c>
      <c r="G650" t="inlineStr">
        <is>
          <t>GISLAVED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45825</v>
      </c>
      <c r="E651" s="1" t="n">
        <v>46249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46249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45825</v>
      </c>
      <c r="E653" s="1" t="n">
        <v>46249</v>
      </c>
      <c r="F653" t="inlineStr">
        <is>
          <t>JÖNKÖPINGS LÄN</t>
        </is>
      </c>
      <c r="G653" t="inlineStr">
        <is>
          <t>GISLAVED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45404</v>
      </c>
      <c r="E654" s="1" t="n">
        <v>46249</v>
      </c>
      <c r="F654" t="inlineStr">
        <is>
          <t>JÖNKÖPINGS LÄN</t>
        </is>
      </c>
      <c r="G654" t="inlineStr">
        <is>
          <t>GISLAVED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45404</v>
      </c>
      <c r="E655" s="1" t="n">
        <v>46249</v>
      </c>
      <c r="F655" t="inlineStr">
        <is>
          <t>JÖNKÖPINGS LÄN</t>
        </is>
      </c>
      <c r="G655" t="inlineStr">
        <is>
          <t>GISLAVED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46232</v>
      </c>
      <c r="E656" s="1" t="n">
        <v>46249</v>
      </c>
      <c r="F656" t="inlineStr">
        <is>
          <t>JÖNKÖPINGS LÄN</t>
        </is>
      </c>
      <c r="G656" t="inlineStr">
        <is>
          <t>GISLAVED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11516-2025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46249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51835-2024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45607</v>
      </c>
      <c r="E658" s="1" t="n">
        <v>46249</v>
      </c>
      <c r="F658" t="inlineStr">
        <is>
          <t>JÖNKÖPINGS LÄN</t>
        </is>
      </c>
      <c r="G658" t="inlineStr">
        <is>
          <t>GISLAVED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46249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46232</v>
      </c>
      <c r="E660" s="1" t="n">
        <v>46249</v>
      </c>
      <c r="F660" t="inlineStr">
        <is>
          <t>JÖNKÖPINGS LÄN</t>
        </is>
      </c>
      <c r="G660" t="inlineStr">
        <is>
          <t>GISLAVED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46249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45675</v>
      </c>
      <c r="E662" s="1" t="n">
        <v>46249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46249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45726</v>
      </c>
      <c r="E664" s="1" t="n">
        <v>46249</v>
      </c>
      <c r="F664" t="inlineStr">
        <is>
          <t>JÖNKÖPINGS LÄN</t>
        </is>
      </c>
      <c r="G664" t="inlineStr">
        <is>
          <t>GISLAVED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45708</v>
      </c>
      <c r="E665" s="1" t="n">
        <v>46249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30519-2025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46249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30516-2025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45831</v>
      </c>
      <c r="E667" s="1" t="n">
        <v>46249</v>
      </c>
      <c r="F667" t="inlineStr">
        <is>
          <t>JÖNKÖPINGS LÄN</t>
        </is>
      </c>
      <c r="G667" t="inlineStr">
        <is>
          <t>GISLAVED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30739-2025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45831</v>
      </c>
      <c r="E668" s="1" t="n">
        <v>46249</v>
      </c>
      <c r="F668" t="inlineStr">
        <is>
          <t>JÖNKÖPINGS LÄN</t>
        </is>
      </c>
      <c r="G668" t="inlineStr">
        <is>
          <t>GISLAVED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46249</v>
      </c>
      <c r="F669" t="inlineStr">
        <is>
          <t>JÖNKÖPINGS LÄN</t>
        </is>
      </c>
      <c r="G669" t="inlineStr">
        <is>
          <t>GISLAVED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30517-2025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45831</v>
      </c>
      <c r="E670" s="1" t="n">
        <v>46249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46249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46249</v>
      </c>
      <c r="F672" t="inlineStr">
        <is>
          <t>JÖNKÖPINGS LÄN</t>
        </is>
      </c>
      <c r="G672" t="inlineStr">
        <is>
          <t>GISLAVED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46249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57007-2023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46249</v>
      </c>
      <c r="F674" t="inlineStr">
        <is>
          <t>JÖNKÖPINGS LÄN</t>
        </is>
      </c>
      <c r="G674" t="inlineStr">
        <is>
          <t>GISLAVED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45702</v>
      </c>
      <c r="E675" s="1" t="n">
        <v>46249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32054-2026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46233</v>
      </c>
      <c r="E676" s="1" t="n">
        <v>46249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46249</v>
      </c>
      <c r="F677" t="inlineStr">
        <is>
          <t>JÖNKÖPINGS LÄN</t>
        </is>
      </c>
      <c r="G677" t="inlineStr">
        <is>
          <t>GISLAVED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46249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32053-2026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46249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46249</v>
      </c>
      <c r="F680" t="inlineStr">
        <is>
          <t>JÖNKÖPINGS LÄN</t>
        </is>
      </c>
      <c r="G680" t="inlineStr">
        <is>
          <t>GISLAVED</t>
        </is>
      </c>
      <c r="H680" t="inlineStr">
        <is>
          <t>Sveaskog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46190</v>
      </c>
      <c r="E681" s="1" t="n">
        <v>46249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46249</v>
      </c>
      <c r="F682" t="inlineStr">
        <is>
          <t>JÖNKÖPINGS LÄN</t>
        </is>
      </c>
      <c r="G682" t="inlineStr">
        <is>
          <t>GISLAVED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46249</v>
      </c>
      <c r="F683" t="inlineStr">
        <is>
          <t>JÖNKÖPINGS LÄN</t>
        </is>
      </c>
      <c r="G683" t="inlineStr">
        <is>
          <t>GISLAVED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46249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46249</v>
      </c>
      <c r="F685" t="inlineStr">
        <is>
          <t>JÖNKÖPINGS LÄN</t>
        </is>
      </c>
      <c r="G685" t="inlineStr">
        <is>
          <t>GISLAVED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46249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46193</v>
      </c>
      <c r="E687" s="1" t="n">
        <v>46249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46249</v>
      </c>
      <c r="F688" t="inlineStr">
        <is>
          <t>JÖNKÖPINGS LÄN</t>
        </is>
      </c>
      <c r="G688" t="inlineStr">
        <is>
          <t>GISLAVED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46249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46249</v>
      </c>
      <c r="F690" t="inlineStr">
        <is>
          <t>JÖNKÖPINGS LÄN</t>
        </is>
      </c>
      <c r="G690" t="inlineStr">
        <is>
          <t>GISLAVED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46249</v>
      </c>
      <c r="F691" t="inlineStr">
        <is>
          <t>JÖNKÖPINGS LÄN</t>
        </is>
      </c>
      <c r="G691" t="inlineStr">
        <is>
          <t>GISLAVED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46249</v>
      </c>
      <c r="F692" t="inlineStr">
        <is>
          <t>JÖNKÖPINGS LÄN</t>
        </is>
      </c>
      <c r="G692" t="inlineStr">
        <is>
          <t>GISLAVED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46249</v>
      </c>
      <c r="F693" t="inlineStr">
        <is>
          <t>JÖNKÖPINGS LÄN</t>
        </is>
      </c>
      <c r="G693" t="inlineStr">
        <is>
          <t>GISLAVED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15048-2022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44657</v>
      </c>
      <c r="E694" s="1" t="n">
        <v>46249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45511</v>
      </c>
      <c r="E695" s="1" t="n">
        <v>46249</v>
      </c>
      <c r="F695" t="inlineStr">
        <is>
          <t>JÖNKÖPINGS LÄN</t>
        </is>
      </c>
      <c r="G695" t="inlineStr">
        <is>
          <t>GISLAVED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60346-2023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45259</v>
      </c>
      <c r="E696" s="1" t="n">
        <v>46249</v>
      </c>
      <c r="F696" t="inlineStr">
        <is>
          <t>JÖNKÖPINGS LÄN</t>
        </is>
      </c>
      <c r="G696" t="inlineStr">
        <is>
          <t>GISLAVED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46249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46237</v>
      </c>
      <c r="E698" s="1" t="n">
        <v>46249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45796</v>
      </c>
      <c r="E699" s="1" t="n">
        <v>46249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16717-2025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45754</v>
      </c>
      <c r="E700" s="1" t="n">
        <v>46249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45863</v>
      </c>
      <c r="E701" s="1" t="n">
        <v>46249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23598-2022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44721</v>
      </c>
      <c r="E702" s="1" t="n">
        <v>46249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25753-2024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45465</v>
      </c>
      <c r="E703" s="1" t="n">
        <v>46249</v>
      </c>
      <c r="F703" t="inlineStr">
        <is>
          <t>JÖNKÖPINGS LÄN</t>
        </is>
      </c>
      <c r="G703" t="inlineStr">
        <is>
          <t>GISLAVED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46249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45518</v>
      </c>
      <c r="E705" s="1" t="n">
        <v>46249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45722</v>
      </c>
      <c r="E706" s="1" t="n">
        <v>46249</v>
      </c>
      <c r="F706" t="inlineStr">
        <is>
          <t>JÖNKÖPINGS LÄN</t>
        </is>
      </c>
      <c r="G706" t="inlineStr">
        <is>
          <t>GISLAVED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25757-2024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45465</v>
      </c>
      <c r="E707" s="1" t="n">
        <v>46249</v>
      </c>
      <c r="F707" t="inlineStr">
        <is>
          <t>JÖNKÖPINGS LÄN</t>
        </is>
      </c>
      <c r="G707" t="inlineStr">
        <is>
          <t>GISLAVED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45611</v>
      </c>
      <c r="E708" s="1" t="n">
        <v>46249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34995-2025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45849</v>
      </c>
      <c r="E709" s="1" t="n">
        <v>46249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51929-2024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45607</v>
      </c>
      <c r="E710" s="1" t="n">
        <v>46249</v>
      </c>
      <c r="F710" t="inlineStr">
        <is>
          <t>JÖNKÖPINGS LÄN</t>
        </is>
      </c>
      <c r="G710" t="inlineStr">
        <is>
          <t>GISLAVED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14588-2024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45395</v>
      </c>
      <c r="E711" s="1" t="n">
        <v>46249</v>
      </c>
      <c r="F711" t="inlineStr">
        <is>
          <t>JÖNKÖPINGS LÄN</t>
        </is>
      </c>
      <c r="G711" t="inlineStr">
        <is>
          <t>GISLAVED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46249</v>
      </c>
      <c r="F712" t="inlineStr">
        <is>
          <t>JÖNKÖPINGS LÄN</t>
        </is>
      </c>
      <c r="G712" t="inlineStr">
        <is>
          <t>GISLAVED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44970</v>
      </c>
      <c r="E713" s="1" t="n">
        <v>46249</v>
      </c>
      <c r="F713" t="inlineStr">
        <is>
          <t>JÖNKÖPINGS LÄN</t>
        </is>
      </c>
      <c r="G713" t="inlineStr">
        <is>
          <t>GISLAVED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25752-2024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45465</v>
      </c>
      <c r="E714" s="1" t="n">
        <v>46249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25755-2024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45465</v>
      </c>
      <c r="E715" s="1" t="n">
        <v>46249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45498</v>
      </c>
      <c r="E716" s="1" t="n">
        <v>46249</v>
      </c>
      <c r="F716" t="inlineStr">
        <is>
          <t>JÖNKÖPINGS LÄN</t>
        </is>
      </c>
      <c r="G716" t="inlineStr">
        <is>
          <t>GISLAVED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10539-2025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45721</v>
      </c>
      <c r="E717" s="1" t="n">
        <v>46249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23722-2023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45077</v>
      </c>
      <c r="E718" s="1" t="n">
        <v>46249</v>
      </c>
      <c r="F718" t="inlineStr">
        <is>
          <t>JÖNKÖPINGS LÄN</t>
        </is>
      </c>
      <c r="G718" t="inlineStr">
        <is>
          <t>GISLAVED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26572-2022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44739</v>
      </c>
      <c r="E719" s="1" t="n">
        <v>46249</v>
      </c>
      <c r="F719" t="inlineStr">
        <is>
          <t>JÖNKÖPINGS LÄN</t>
        </is>
      </c>
      <c r="G719" t="inlineStr">
        <is>
          <t>GISLAVED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44958</v>
      </c>
      <c r="E720" s="1" t="n">
        <v>46249</v>
      </c>
      <c r="F720" t="inlineStr">
        <is>
          <t>JÖNKÖPINGS LÄN</t>
        </is>
      </c>
      <c r="G720" t="inlineStr">
        <is>
          <t>GISLAVED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60653-2021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44496</v>
      </c>
      <c r="E721" s="1" t="n">
        <v>46249</v>
      </c>
      <c r="F721" t="inlineStr">
        <is>
          <t>JÖNKÖPINGS LÄN</t>
        </is>
      </c>
      <c r="G721" t="inlineStr">
        <is>
          <t>GISLAVED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46249</v>
      </c>
      <c r="F722" t="inlineStr">
        <is>
          <t>JÖNKÖPINGS LÄN</t>
        </is>
      </c>
      <c r="G722" t="inlineStr">
        <is>
          <t>GISLAVED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47243-2021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44447</v>
      </c>
      <c r="E723" s="1" t="n">
        <v>46249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53715-2021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44469</v>
      </c>
      <c r="E724" s="1" t="n">
        <v>46249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57243-2023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45245</v>
      </c>
      <c r="E725" s="1" t="n">
        <v>46249</v>
      </c>
      <c r="F725" t="inlineStr">
        <is>
          <t>JÖNKÖPINGS LÄN</t>
        </is>
      </c>
      <c r="G725" t="inlineStr">
        <is>
          <t>GISLAVED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44573-2023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46249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45395</v>
      </c>
      <c r="E727" s="1" t="n">
        <v>46249</v>
      </c>
      <c r="F727" t="inlineStr">
        <is>
          <t>JÖNKÖPINGS LÄN</t>
        </is>
      </c>
      <c r="G727" t="inlineStr">
        <is>
          <t>GISLAVED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45395</v>
      </c>
      <c r="E728" s="1" t="n">
        <v>46249</v>
      </c>
      <c r="F728" t="inlineStr">
        <is>
          <t>JÖNKÖPINGS LÄN</t>
        </is>
      </c>
      <c r="G728" t="inlineStr">
        <is>
          <t>GISLAVED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45873</v>
      </c>
      <c r="E729" s="1" t="n">
        <v>46249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46249</v>
      </c>
      <c r="F730" t="inlineStr">
        <is>
          <t>JÖNKÖPINGS LÄN</t>
        </is>
      </c>
      <c r="G730" t="inlineStr">
        <is>
          <t>GISLAVED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37811-2022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44810</v>
      </c>
      <c r="E731" s="1" t="n">
        <v>46249</v>
      </c>
      <c r="F731" t="inlineStr">
        <is>
          <t>JÖNKÖPINGS LÄN</t>
        </is>
      </c>
      <c r="G731" t="inlineStr">
        <is>
          <t>GISLAVED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46249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47248-2021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44447</v>
      </c>
      <c r="E733" s="1" t="n">
        <v>46249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46249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46249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43470-2021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44432</v>
      </c>
      <c r="E736" s="1" t="n">
        <v>46249</v>
      </c>
      <c r="F736" t="inlineStr">
        <is>
          <t>JÖNKÖPINGS LÄN</t>
        </is>
      </c>
      <c r="G736" t="inlineStr">
        <is>
          <t>GISLAVED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45873</v>
      </c>
      <c r="E737" s="1" t="n">
        <v>46249</v>
      </c>
      <c r="F737" t="inlineStr">
        <is>
          <t>JÖNKÖPINGS LÄN</t>
        </is>
      </c>
      <c r="G737" t="inlineStr">
        <is>
          <t>GISLAVED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44958</v>
      </c>
      <c r="E738" s="1" t="n">
        <v>46249</v>
      </c>
      <c r="F738" t="inlineStr">
        <is>
          <t>JÖNKÖPINGS LÄN</t>
        </is>
      </c>
      <c r="G738" t="inlineStr">
        <is>
          <t>GISLAVED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46249</v>
      </c>
      <c r="F739" t="inlineStr">
        <is>
          <t>JÖNKÖPINGS LÄN</t>
        </is>
      </c>
      <c r="G739" t="inlineStr">
        <is>
          <t>GISLAVED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32684-2026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46240</v>
      </c>
      <c r="E740" s="1" t="n">
        <v>46249</v>
      </c>
      <c r="F740" t="inlineStr">
        <is>
          <t>JÖNKÖPINGS LÄN</t>
        </is>
      </c>
      <c r="G740" t="inlineStr">
        <is>
          <t>GISLAVED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38347-2022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44812</v>
      </c>
      <c r="E741" s="1" t="n">
        <v>46249</v>
      </c>
      <c r="F741" t="inlineStr">
        <is>
          <t>JÖNKÖPINGS LÄN</t>
        </is>
      </c>
      <c r="G741" t="inlineStr">
        <is>
          <t>GISLAVED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45301</v>
      </c>
      <c r="E742" s="1" t="n">
        <v>46249</v>
      </c>
      <c r="F742" t="inlineStr">
        <is>
          <t>JÖNKÖPINGS LÄN</t>
        </is>
      </c>
      <c r="G742" t="inlineStr">
        <is>
          <t>GISLAVED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45876</v>
      </c>
      <c r="E743" s="1" t="n">
        <v>46249</v>
      </c>
      <c r="F743" t="inlineStr">
        <is>
          <t>JÖNKÖPINGS LÄN</t>
        </is>
      </c>
      <c r="G743" t="inlineStr">
        <is>
          <t>GISLAVED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37250-2025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45876</v>
      </c>
      <c r="E744" s="1" t="n">
        <v>46249</v>
      </c>
      <c r="F744" t="inlineStr">
        <is>
          <t>JÖNKÖPINGS LÄN</t>
        </is>
      </c>
      <c r="G744" t="inlineStr">
        <is>
          <t>GISLAVED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46249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46249</v>
      </c>
      <c r="F746" t="inlineStr">
        <is>
          <t>JÖNKÖPINGS LÄN</t>
        </is>
      </c>
      <c r="G746" t="inlineStr">
        <is>
          <t>GISLAVED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46249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46249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46249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46249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46249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46249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46249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46249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46249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46249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46249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46249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46249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46249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46249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46249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46249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46249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46249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46249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46249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46249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46249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46249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46249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46249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46249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46249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46249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46249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46249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46249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46249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46249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2026-08-15T08:27:49Z</dcterms:created>
  <dcterms:modified xmlns:dcterms="http://purl.org/dc/terms/" xmlns:xsi="http://www.w3.org/2001/XMLSchema-instance" xsi:type="dcterms:W3CDTF">2026-08-15T08:27:49Z</dcterms:modified>
</cp:coreProperties>
</file>